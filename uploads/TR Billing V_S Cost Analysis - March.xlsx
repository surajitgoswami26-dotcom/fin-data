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urajit/Downloads/"/>
    </mc:Choice>
  </mc:AlternateContent>
  <xr:revisionPtr revIDLastSave="0" documentId="13_ncr:1_{5B99139C-B147-2444-8AB8-8E39E29A57D1}" xr6:coauthVersionLast="47" xr6:coauthVersionMax="47" xr10:uidLastSave="{00000000-0000-0000-0000-000000000000}"/>
  <bookViews>
    <workbookView xWindow="0" yWindow="740" windowWidth="29400" windowHeight="17080" activeTab="10" xr2:uid="{00000000-000D-0000-FFFF-FFFF00000000}"/>
  </bookViews>
  <sheets>
    <sheet name="Estimate till Sept" sheetId="2" state="hidden" r:id="rId1"/>
    <sheet name="March" sheetId="3" state="hidden" r:id="rId2"/>
    <sheet name="Feb-25" sheetId="4" state="hidden" r:id="rId3"/>
    <sheet name="Clients-Jan" sheetId="5" state="hidden" r:id="rId4"/>
    <sheet name="Clients- March26" sheetId="7" r:id="rId5"/>
    <sheet name="Employee Summery-Jan" sheetId="8" state="hidden" r:id="rId6"/>
    <sheet name="Employee Summery-Feb26" sheetId="9" state="hidden" r:id="rId7"/>
    <sheet name="Employee Summery- March26" sheetId="10" r:id="rId8"/>
    <sheet name="Expenses-Jan" sheetId="11" state="hidden" r:id="rId9"/>
    <sheet name="Expenses-Feb26" sheetId="12" state="hidden" r:id="rId10"/>
    <sheet name="Expenses-March26" sheetId="13" r:id="rId11"/>
    <sheet name="Raw Data" sheetId="14" state="hidden" r:id="rId12"/>
    <sheet name="May" sheetId="15" state="hidden" r:id="rId13"/>
  </sheets>
  <definedNames>
    <definedName name="_xlnm._FilterDatabase" localSheetId="7" hidden="1">'Employee Summery- March26'!$A$1:$B$74</definedName>
    <definedName name="_xlnm._FilterDatabase" localSheetId="6" hidden="1">'Employee Summery-Feb26'!$A$1:$D$76</definedName>
    <definedName name="_xlnm._FilterDatabase" localSheetId="5" hidden="1">'Employee Summery-Jan'!$A$1:$D$77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15" l="1"/>
  <c r="P54" i="15"/>
  <c r="O54" i="15"/>
  <c r="N54" i="15"/>
  <c r="M54" i="15"/>
  <c r="L54" i="15"/>
  <c r="K54" i="15"/>
  <c r="J54" i="15"/>
  <c r="I54" i="15"/>
  <c r="H54" i="15"/>
  <c r="G54" i="15"/>
  <c r="F54" i="15"/>
  <c r="R52" i="15"/>
  <c r="R51" i="15"/>
  <c r="E51" i="15"/>
  <c r="R50" i="15"/>
  <c r="E50" i="15"/>
  <c r="E49" i="15"/>
  <c r="R49" i="15" s="1"/>
  <c r="R48" i="15"/>
  <c r="E48" i="15"/>
  <c r="R47" i="15"/>
  <c r="E47" i="15"/>
  <c r="R46" i="15"/>
  <c r="E46" i="15"/>
  <c r="E45" i="15"/>
  <c r="R45" i="15" s="1"/>
  <c r="R44" i="15"/>
  <c r="E44" i="15"/>
  <c r="R43" i="15"/>
  <c r="E43" i="15"/>
  <c r="R42" i="15"/>
  <c r="E42" i="15"/>
  <c r="E41" i="15"/>
  <c r="R41" i="15" s="1"/>
  <c r="R40" i="15"/>
  <c r="E40" i="15"/>
  <c r="R39" i="15"/>
  <c r="E39" i="15"/>
  <c r="R38" i="15"/>
  <c r="E38" i="15"/>
  <c r="E37" i="15"/>
  <c r="R37" i="15" s="1"/>
  <c r="R36" i="15"/>
  <c r="E36" i="15"/>
  <c r="R35" i="15"/>
  <c r="E35" i="15"/>
  <c r="R34" i="15"/>
  <c r="E34" i="15"/>
  <c r="E33" i="15"/>
  <c r="R33" i="15" s="1"/>
  <c r="R32" i="15"/>
  <c r="E32" i="15"/>
  <c r="R31" i="15"/>
  <c r="E31" i="15"/>
  <c r="R30" i="15"/>
  <c r="E30" i="15"/>
  <c r="E29" i="15"/>
  <c r="R29" i="15" s="1"/>
  <c r="R28" i="15"/>
  <c r="E28" i="15"/>
  <c r="R27" i="15"/>
  <c r="E27" i="15"/>
  <c r="R26" i="15"/>
  <c r="E26" i="15"/>
  <c r="E25" i="15"/>
  <c r="R25" i="15" s="1"/>
  <c r="R24" i="15"/>
  <c r="E24" i="15"/>
  <c r="R23" i="15"/>
  <c r="E23" i="15"/>
  <c r="R22" i="15"/>
  <c r="E22" i="15"/>
  <c r="E21" i="15"/>
  <c r="R21" i="15" s="1"/>
  <c r="R20" i="15"/>
  <c r="E20" i="15"/>
  <c r="R19" i="15"/>
  <c r="E19" i="15"/>
  <c r="R18" i="15"/>
  <c r="E18" i="15"/>
  <c r="E17" i="15"/>
  <c r="R17" i="15" s="1"/>
  <c r="R16" i="15"/>
  <c r="E16" i="15"/>
  <c r="R15" i="15"/>
  <c r="E15" i="15"/>
  <c r="R14" i="15"/>
  <c r="E14" i="15"/>
  <c r="E13" i="15"/>
  <c r="R13" i="15" s="1"/>
  <c r="R12" i="15"/>
  <c r="E12" i="15"/>
  <c r="R11" i="15"/>
  <c r="E11" i="15"/>
  <c r="R10" i="15"/>
  <c r="E10" i="15"/>
  <c r="E9" i="15"/>
  <c r="R9" i="15" s="1"/>
  <c r="R8" i="15"/>
  <c r="E8" i="15"/>
  <c r="R7" i="15"/>
  <c r="E7" i="15"/>
  <c r="R6" i="15"/>
  <c r="E6" i="15"/>
  <c r="E5" i="15"/>
  <c r="R5" i="15" s="1"/>
  <c r="R4" i="15"/>
  <c r="E4" i="15"/>
  <c r="E54" i="15" s="1"/>
  <c r="R3" i="15"/>
  <c r="E3" i="15"/>
  <c r="R2" i="15"/>
  <c r="E2" i="15"/>
  <c r="B41" i="14"/>
  <c r="D48" i="12"/>
  <c r="D47" i="12"/>
  <c r="D46" i="12"/>
  <c r="C45" i="12"/>
  <c r="D45" i="12" s="1"/>
  <c r="D44" i="12"/>
  <c r="D43" i="12"/>
  <c r="C42" i="12"/>
  <c r="D42" i="12" s="1"/>
  <c r="D41" i="12"/>
  <c r="D40" i="12"/>
  <c r="D39" i="12"/>
  <c r="D38" i="12"/>
  <c r="D37" i="12"/>
  <c r="D36" i="12"/>
  <c r="C35" i="12"/>
  <c r="D35" i="12" s="1"/>
  <c r="D34" i="12"/>
  <c r="C34" i="12"/>
  <c r="D33" i="12"/>
  <c r="D32" i="12"/>
  <c r="D31" i="12"/>
  <c r="C30" i="12"/>
  <c r="D30" i="12" s="1"/>
  <c r="D29" i="12"/>
  <c r="D28" i="12"/>
  <c r="D27" i="12"/>
  <c r="C27" i="12"/>
  <c r="D26" i="12"/>
  <c r="C25" i="12"/>
  <c r="D25" i="12" s="1"/>
  <c r="D24" i="12"/>
  <c r="D23" i="12"/>
  <c r="D22" i="12"/>
  <c r="C22" i="12"/>
  <c r="D21" i="12"/>
  <c r="D20" i="12"/>
  <c r="C20" i="12"/>
  <c r="D19" i="12"/>
  <c r="D18" i="12"/>
  <c r="D17" i="12"/>
  <c r="D16" i="12"/>
  <c r="D15" i="12"/>
  <c r="C15" i="12"/>
  <c r="D14" i="12"/>
  <c r="C13" i="12"/>
  <c r="D13" i="12" s="1"/>
  <c r="C12" i="12"/>
  <c r="D12" i="12" s="1"/>
  <c r="D11" i="12"/>
  <c r="D10" i="12"/>
  <c r="D9" i="12"/>
  <c r="D8" i="12"/>
  <c r="C7" i="12"/>
  <c r="D7" i="12" s="1"/>
  <c r="D6" i="12"/>
  <c r="D5" i="12"/>
  <c r="D4" i="12"/>
  <c r="C4" i="12"/>
  <c r="C3" i="12"/>
  <c r="D3" i="12" s="1"/>
  <c r="C2" i="12"/>
  <c r="D2" i="12" s="1"/>
  <c r="D49" i="11"/>
  <c r="D48" i="11"/>
  <c r="D47" i="11"/>
  <c r="D46" i="11"/>
  <c r="C45" i="11"/>
  <c r="D45" i="11" s="1"/>
  <c r="C44" i="11"/>
  <c r="D44" i="11" s="1"/>
  <c r="C43" i="11"/>
  <c r="D43" i="11" s="1"/>
  <c r="D42" i="11"/>
  <c r="D41" i="11"/>
  <c r="C41" i="11"/>
  <c r="D40" i="11"/>
  <c r="D39" i="11"/>
  <c r="D38" i="11"/>
  <c r="D37" i="11"/>
  <c r="D36" i="11"/>
  <c r="D35" i="11"/>
  <c r="D34" i="11"/>
  <c r="D33" i="11"/>
  <c r="D32" i="11"/>
  <c r="D31" i="11"/>
  <c r="C30" i="11"/>
  <c r="D30" i="11" s="1"/>
  <c r="D29" i="11"/>
  <c r="C29" i="11"/>
  <c r="D28" i="11"/>
  <c r="C28" i="11"/>
  <c r="D27" i="11"/>
  <c r="D26" i="11"/>
  <c r="C25" i="11"/>
  <c r="D25" i="11" s="1"/>
  <c r="D24" i="11"/>
  <c r="D23" i="11"/>
  <c r="C23" i="11"/>
  <c r="D22" i="11"/>
  <c r="D21" i="11"/>
  <c r="D20" i="11"/>
  <c r="D19" i="11"/>
  <c r="D18" i="11"/>
  <c r="D17" i="11"/>
  <c r="C17" i="11"/>
  <c r="D16" i="11"/>
  <c r="C15" i="11"/>
  <c r="D15" i="11" s="1"/>
  <c r="D14" i="11"/>
  <c r="C13" i="11"/>
  <c r="D13" i="11" s="1"/>
  <c r="D12" i="11"/>
  <c r="C12" i="11"/>
  <c r="D11" i="11"/>
  <c r="D10" i="11"/>
  <c r="D9" i="11"/>
  <c r="D8" i="11"/>
  <c r="D7" i="11"/>
  <c r="D6" i="11"/>
  <c r="D5" i="11"/>
  <c r="D4" i="11"/>
  <c r="D3" i="11"/>
  <c r="D2" i="11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E46" i="7"/>
  <c r="E45" i="7"/>
  <c r="E44" i="7"/>
  <c r="E28" i="7"/>
  <c r="E27" i="7"/>
  <c r="E26" i="7"/>
  <c r="E25" i="7"/>
  <c r="E24" i="7"/>
  <c r="E23" i="7"/>
  <c r="E22" i="7"/>
  <c r="E14" i="7"/>
  <c r="E12" i="7"/>
  <c r="E11" i="7"/>
  <c r="E10" i="7"/>
  <c r="B201" i="5"/>
  <c r="F50" i="5"/>
  <c r="F49" i="5"/>
  <c r="F48" i="5"/>
  <c r="F47" i="5"/>
  <c r="F46" i="5"/>
  <c r="F45" i="5"/>
  <c r="F44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B198" i="4"/>
  <c r="S48" i="4"/>
  <c r="J48" i="4"/>
  <c r="I48" i="4"/>
  <c r="S47" i="4"/>
  <c r="J47" i="4"/>
  <c r="I47" i="4"/>
  <c r="F47" i="4"/>
  <c r="S46" i="4"/>
  <c r="J46" i="4"/>
  <c r="I46" i="4"/>
  <c r="F46" i="4"/>
  <c r="S45" i="4"/>
  <c r="J45" i="4"/>
  <c r="I45" i="4"/>
  <c r="F45" i="4"/>
  <c r="S44" i="4"/>
  <c r="J44" i="4"/>
  <c r="I44" i="4"/>
  <c r="F44" i="4"/>
  <c r="R41" i="4"/>
  <c r="Q41" i="4"/>
  <c r="P41" i="4"/>
  <c r="O41" i="4"/>
  <c r="N41" i="4"/>
  <c r="M41" i="4"/>
  <c r="L41" i="4"/>
  <c r="K41" i="4"/>
  <c r="J41" i="4"/>
  <c r="I41" i="4"/>
  <c r="H41" i="4"/>
  <c r="F41" i="4"/>
  <c r="S41" i="4" s="1"/>
  <c r="R40" i="4"/>
  <c r="Q40" i="4"/>
  <c r="P40" i="4"/>
  <c r="O40" i="4"/>
  <c r="N40" i="4"/>
  <c r="M40" i="4"/>
  <c r="L40" i="4"/>
  <c r="K40" i="4"/>
  <c r="J40" i="4"/>
  <c r="I40" i="4"/>
  <c r="H40" i="4"/>
  <c r="S40" i="4" s="1"/>
  <c r="F40" i="4"/>
  <c r="R39" i="4"/>
  <c r="Q39" i="4"/>
  <c r="P39" i="4"/>
  <c r="O39" i="4"/>
  <c r="N39" i="4"/>
  <c r="M39" i="4"/>
  <c r="L39" i="4"/>
  <c r="K39" i="4"/>
  <c r="J39" i="4"/>
  <c r="I39" i="4"/>
  <c r="S39" i="4" s="1"/>
  <c r="H39" i="4"/>
  <c r="F39" i="4"/>
  <c r="R38" i="4"/>
  <c r="Q38" i="4"/>
  <c r="P38" i="4"/>
  <c r="O38" i="4"/>
  <c r="N38" i="4"/>
  <c r="M38" i="4"/>
  <c r="L38" i="4"/>
  <c r="K38" i="4"/>
  <c r="J38" i="4"/>
  <c r="I38" i="4"/>
  <c r="H38" i="4"/>
  <c r="F38" i="4"/>
  <c r="S38" i="4" s="1"/>
  <c r="R37" i="4"/>
  <c r="Q37" i="4"/>
  <c r="P37" i="4"/>
  <c r="O37" i="4"/>
  <c r="N37" i="4"/>
  <c r="M37" i="4"/>
  <c r="L37" i="4"/>
  <c r="K37" i="4"/>
  <c r="S37" i="4" s="1"/>
  <c r="J37" i="4"/>
  <c r="I37" i="4"/>
  <c r="H37" i="4"/>
  <c r="F37" i="4"/>
  <c r="R36" i="4"/>
  <c r="Q36" i="4"/>
  <c r="P36" i="4"/>
  <c r="O36" i="4"/>
  <c r="N36" i="4"/>
  <c r="M36" i="4"/>
  <c r="L36" i="4"/>
  <c r="K36" i="4"/>
  <c r="J36" i="4"/>
  <c r="I36" i="4"/>
  <c r="H36" i="4"/>
  <c r="F36" i="4"/>
  <c r="S36" i="4" s="1"/>
  <c r="R35" i="4"/>
  <c r="Q35" i="4"/>
  <c r="P35" i="4"/>
  <c r="O35" i="4"/>
  <c r="N35" i="4"/>
  <c r="M35" i="4"/>
  <c r="L35" i="4"/>
  <c r="K35" i="4"/>
  <c r="J35" i="4"/>
  <c r="I35" i="4"/>
  <c r="H35" i="4"/>
  <c r="F35" i="4"/>
  <c r="S35" i="4" s="1"/>
  <c r="R34" i="4"/>
  <c r="Q34" i="4"/>
  <c r="P34" i="4"/>
  <c r="O34" i="4"/>
  <c r="N34" i="4"/>
  <c r="M34" i="4"/>
  <c r="L34" i="4"/>
  <c r="K34" i="4"/>
  <c r="J34" i="4"/>
  <c r="S34" i="4" s="1"/>
  <c r="I34" i="4"/>
  <c r="H34" i="4"/>
  <c r="F34" i="4"/>
  <c r="R33" i="4"/>
  <c r="Q33" i="4"/>
  <c r="P33" i="4"/>
  <c r="O33" i="4"/>
  <c r="N33" i="4"/>
  <c r="M33" i="4"/>
  <c r="L33" i="4"/>
  <c r="K33" i="4"/>
  <c r="J33" i="4"/>
  <c r="I33" i="4"/>
  <c r="H33" i="4"/>
  <c r="F33" i="4"/>
  <c r="S33" i="4" s="1"/>
  <c r="R32" i="4"/>
  <c r="Q32" i="4"/>
  <c r="P32" i="4"/>
  <c r="O32" i="4"/>
  <c r="N32" i="4"/>
  <c r="M32" i="4"/>
  <c r="L32" i="4"/>
  <c r="K32" i="4"/>
  <c r="J32" i="4"/>
  <c r="I32" i="4"/>
  <c r="H32" i="4"/>
  <c r="S32" i="4" s="1"/>
  <c r="F32" i="4"/>
  <c r="R31" i="4"/>
  <c r="Q31" i="4"/>
  <c r="P31" i="4"/>
  <c r="O31" i="4"/>
  <c r="N31" i="4"/>
  <c r="M31" i="4"/>
  <c r="L31" i="4"/>
  <c r="K31" i="4"/>
  <c r="J31" i="4"/>
  <c r="I31" i="4"/>
  <c r="S31" i="4" s="1"/>
  <c r="H31" i="4"/>
  <c r="F31" i="4"/>
  <c r="R30" i="4"/>
  <c r="Q30" i="4"/>
  <c r="P30" i="4"/>
  <c r="O30" i="4"/>
  <c r="N30" i="4"/>
  <c r="M30" i="4"/>
  <c r="L30" i="4"/>
  <c r="K30" i="4"/>
  <c r="J30" i="4"/>
  <c r="I30" i="4"/>
  <c r="H30" i="4"/>
  <c r="F30" i="4"/>
  <c r="S30" i="4" s="1"/>
  <c r="R29" i="4"/>
  <c r="Q29" i="4"/>
  <c r="P29" i="4"/>
  <c r="O29" i="4"/>
  <c r="N29" i="4"/>
  <c r="M29" i="4"/>
  <c r="L29" i="4"/>
  <c r="K29" i="4"/>
  <c r="S29" i="4" s="1"/>
  <c r="J29" i="4"/>
  <c r="I29" i="4"/>
  <c r="H29" i="4"/>
  <c r="F29" i="4"/>
  <c r="R28" i="4"/>
  <c r="Q28" i="4"/>
  <c r="P28" i="4"/>
  <c r="O28" i="4"/>
  <c r="N28" i="4"/>
  <c r="M28" i="4"/>
  <c r="L28" i="4"/>
  <c r="K28" i="4"/>
  <c r="J28" i="4"/>
  <c r="I28" i="4"/>
  <c r="H28" i="4"/>
  <c r="F28" i="4"/>
  <c r="S28" i="4" s="1"/>
  <c r="R27" i="4"/>
  <c r="Q27" i="4"/>
  <c r="P27" i="4"/>
  <c r="O27" i="4"/>
  <c r="N27" i="4"/>
  <c r="M27" i="4"/>
  <c r="L27" i="4"/>
  <c r="K27" i="4"/>
  <c r="J27" i="4"/>
  <c r="I27" i="4"/>
  <c r="H27" i="4"/>
  <c r="F27" i="4"/>
  <c r="S27" i="4" s="1"/>
  <c r="R26" i="4"/>
  <c r="Q26" i="4"/>
  <c r="P26" i="4"/>
  <c r="O26" i="4"/>
  <c r="N26" i="4"/>
  <c r="M26" i="4"/>
  <c r="L26" i="4"/>
  <c r="K26" i="4"/>
  <c r="J26" i="4"/>
  <c r="S26" i="4" s="1"/>
  <c r="I26" i="4"/>
  <c r="H26" i="4"/>
  <c r="F26" i="4"/>
  <c r="R25" i="4"/>
  <c r="Q25" i="4"/>
  <c r="P25" i="4"/>
  <c r="O25" i="4"/>
  <c r="N25" i="4"/>
  <c r="M25" i="4"/>
  <c r="L25" i="4"/>
  <c r="K25" i="4"/>
  <c r="J25" i="4"/>
  <c r="I25" i="4"/>
  <c r="H25" i="4"/>
  <c r="F25" i="4"/>
  <c r="S25" i="4" s="1"/>
  <c r="R24" i="4"/>
  <c r="Q24" i="4"/>
  <c r="P24" i="4"/>
  <c r="O24" i="4"/>
  <c r="N24" i="4"/>
  <c r="M24" i="4"/>
  <c r="L24" i="4"/>
  <c r="K24" i="4"/>
  <c r="J24" i="4"/>
  <c r="I24" i="4"/>
  <c r="H24" i="4"/>
  <c r="S24" i="4" s="1"/>
  <c r="F24" i="4"/>
  <c r="R23" i="4"/>
  <c r="Q23" i="4"/>
  <c r="P23" i="4"/>
  <c r="O23" i="4"/>
  <c r="N23" i="4"/>
  <c r="M23" i="4"/>
  <c r="L23" i="4"/>
  <c r="K23" i="4"/>
  <c r="J23" i="4"/>
  <c r="I23" i="4"/>
  <c r="S23" i="4" s="1"/>
  <c r="H23" i="4"/>
  <c r="F23" i="4"/>
  <c r="R22" i="4"/>
  <c r="Q22" i="4"/>
  <c r="P22" i="4"/>
  <c r="O22" i="4"/>
  <c r="N22" i="4"/>
  <c r="M22" i="4"/>
  <c r="L22" i="4"/>
  <c r="K22" i="4"/>
  <c r="J22" i="4"/>
  <c r="I22" i="4"/>
  <c r="H22" i="4"/>
  <c r="F22" i="4"/>
  <c r="S22" i="4" s="1"/>
  <c r="S21" i="4"/>
  <c r="R21" i="4"/>
  <c r="Q21" i="4"/>
  <c r="P21" i="4"/>
  <c r="O21" i="4"/>
  <c r="N21" i="4"/>
  <c r="M21" i="4"/>
  <c r="L21" i="4"/>
  <c r="K21" i="4"/>
  <c r="J21" i="4"/>
  <c r="I21" i="4"/>
  <c r="H21" i="4"/>
  <c r="F21" i="4"/>
  <c r="R20" i="4"/>
  <c r="Q20" i="4"/>
  <c r="P20" i="4"/>
  <c r="O20" i="4"/>
  <c r="N20" i="4"/>
  <c r="M20" i="4"/>
  <c r="L20" i="4"/>
  <c r="K20" i="4"/>
  <c r="J20" i="4"/>
  <c r="I20" i="4"/>
  <c r="H20" i="4"/>
  <c r="F20" i="4"/>
  <c r="S20" i="4" s="1"/>
  <c r="R19" i="4"/>
  <c r="Q19" i="4"/>
  <c r="P19" i="4"/>
  <c r="O19" i="4"/>
  <c r="N19" i="4"/>
  <c r="M19" i="4"/>
  <c r="L19" i="4"/>
  <c r="K19" i="4"/>
  <c r="J19" i="4"/>
  <c r="I19" i="4"/>
  <c r="H19" i="4"/>
  <c r="F19" i="4"/>
  <c r="S19" i="4" s="1"/>
  <c r="R18" i="4"/>
  <c r="Q18" i="4"/>
  <c r="P18" i="4"/>
  <c r="O18" i="4"/>
  <c r="N18" i="4"/>
  <c r="M18" i="4"/>
  <c r="L18" i="4"/>
  <c r="K18" i="4"/>
  <c r="J18" i="4"/>
  <c r="S18" i="4" s="1"/>
  <c r="I18" i="4"/>
  <c r="H18" i="4"/>
  <c r="F18" i="4"/>
  <c r="R17" i="4"/>
  <c r="Q17" i="4"/>
  <c r="P17" i="4"/>
  <c r="O17" i="4"/>
  <c r="N17" i="4"/>
  <c r="M17" i="4"/>
  <c r="L17" i="4"/>
  <c r="K17" i="4"/>
  <c r="J17" i="4"/>
  <c r="I17" i="4"/>
  <c r="H17" i="4"/>
  <c r="F17" i="4"/>
  <c r="S17" i="4" s="1"/>
  <c r="R16" i="4"/>
  <c r="Q16" i="4"/>
  <c r="P16" i="4"/>
  <c r="O16" i="4"/>
  <c r="N16" i="4"/>
  <c r="M16" i="4"/>
  <c r="L16" i="4"/>
  <c r="K16" i="4"/>
  <c r="J16" i="4"/>
  <c r="I16" i="4"/>
  <c r="H16" i="4"/>
  <c r="S16" i="4" s="1"/>
  <c r="F16" i="4"/>
  <c r="R15" i="4"/>
  <c r="Q15" i="4"/>
  <c r="P15" i="4"/>
  <c r="O15" i="4"/>
  <c r="N15" i="4"/>
  <c r="M15" i="4"/>
  <c r="L15" i="4"/>
  <c r="K15" i="4"/>
  <c r="J15" i="4"/>
  <c r="I15" i="4"/>
  <c r="S15" i="4" s="1"/>
  <c r="H15" i="4"/>
  <c r="F15" i="4"/>
  <c r="R14" i="4"/>
  <c r="Q14" i="4"/>
  <c r="P14" i="4"/>
  <c r="O14" i="4"/>
  <c r="N14" i="4"/>
  <c r="M14" i="4"/>
  <c r="L14" i="4"/>
  <c r="K14" i="4"/>
  <c r="J14" i="4"/>
  <c r="I14" i="4"/>
  <c r="H14" i="4"/>
  <c r="F14" i="4"/>
  <c r="S14" i="4" s="1"/>
  <c r="S13" i="4"/>
  <c r="R13" i="4"/>
  <c r="Q13" i="4"/>
  <c r="P13" i="4"/>
  <c r="O13" i="4"/>
  <c r="N13" i="4"/>
  <c r="M13" i="4"/>
  <c r="L13" i="4"/>
  <c r="K13" i="4"/>
  <c r="J13" i="4"/>
  <c r="I13" i="4"/>
  <c r="H13" i="4"/>
  <c r="F13" i="4"/>
  <c r="R12" i="4"/>
  <c r="Q12" i="4"/>
  <c r="P12" i="4"/>
  <c r="O12" i="4"/>
  <c r="N12" i="4"/>
  <c r="M12" i="4"/>
  <c r="L12" i="4"/>
  <c r="K12" i="4"/>
  <c r="J12" i="4"/>
  <c r="I12" i="4"/>
  <c r="H12" i="4"/>
  <c r="F12" i="4"/>
  <c r="S12" i="4" s="1"/>
  <c r="R11" i="4"/>
  <c r="Q11" i="4"/>
  <c r="P11" i="4"/>
  <c r="O11" i="4"/>
  <c r="N11" i="4"/>
  <c r="M11" i="4"/>
  <c r="L11" i="4"/>
  <c r="K11" i="4"/>
  <c r="J11" i="4"/>
  <c r="I11" i="4"/>
  <c r="H11" i="4"/>
  <c r="F11" i="4"/>
  <c r="S11" i="4" s="1"/>
  <c r="R10" i="4"/>
  <c r="Q10" i="4"/>
  <c r="P10" i="4"/>
  <c r="O10" i="4"/>
  <c r="N10" i="4"/>
  <c r="M10" i="4"/>
  <c r="L10" i="4"/>
  <c r="K10" i="4"/>
  <c r="J10" i="4"/>
  <c r="S10" i="4" s="1"/>
  <c r="I10" i="4"/>
  <c r="H10" i="4"/>
  <c r="F10" i="4"/>
  <c r="R9" i="4"/>
  <c r="Q9" i="4"/>
  <c r="P9" i="4"/>
  <c r="O9" i="4"/>
  <c r="N9" i="4"/>
  <c r="M9" i="4"/>
  <c r="L9" i="4"/>
  <c r="K9" i="4"/>
  <c r="J9" i="4"/>
  <c r="I9" i="4"/>
  <c r="H9" i="4"/>
  <c r="F9" i="4"/>
  <c r="S9" i="4" s="1"/>
  <c r="R8" i="4"/>
  <c r="Q8" i="4"/>
  <c r="P8" i="4"/>
  <c r="O8" i="4"/>
  <c r="N8" i="4"/>
  <c r="M8" i="4"/>
  <c r="L8" i="4"/>
  <c r="K8" i="4"/>
  <c r="J8" i="4"/>
  <c r="I8" i="4"/>
  <c r="H8" i="4"/>
  <c r="S8" i="4" s="1"/>
  <c r="F8" i="4"/>
  <c r="R7" i="4"/>
  <c r="Q7" i="4"/>
  <c r="P7" i="4"/>
  <c r="O7" i="4"/>
  <c r="N7" i="4"/>
  <c r="M7" i="4"/>
  <c r="L7" i="4"/>
  <c r="K7" i="4"/>
  <c r="J7" i="4"/>
  <c r="I7" i="4"/>
  <c r="S7" i="4" s="1"/>
  <c r="H7" i="4"/>
  <c r="F7" i="4"/>
  <c r="R6" i="4"/>
  <c r="Q6" i="4"/>
  <c r="P6" i="4"/>
  <c r="O6" i="4"/>
  <c r="N6" i="4"/>
  <c r="M6" i="4"/>
  <c r="L6" i="4"/>
  <c r="K6" i="4"/>
  <c r="J6" i="4"/>
  <c r="I6" i="4"/>
  <c r="H6" i="4"/>
  <c r="F6" i="4"/>
  <c r="S6" i="4" s="1"/>
  <c r="S5" i="4"/>
  <c r="R5" i="4"/>
  <c r="Q5" i="4"/>
  <c r="P5" i="4"/>
  <c r="O5" i="4"/>
  <c r="N5" i="4"/>
  <c r="M5" i="4"/>
  <c r="L5" i="4"/>
  <c r="K5" i="4"/>
  <c r="J5" i="4"/>
  <c r="I5" i="4"/>
  <c r="H5" i="4"/>
  <c r="F5" i="4"/>
  <c r="R3" i="4"/>
  <c r="R51" i="4" s="1"/>
  <c r="Q3" i="4"/>
  <c r="P3" i="4"/>
  <c r="P51" i="4" s="1"/>
  <c r="O3" i="4"/>
  <c r="N3" i="4"/>
  <c r="M3" i="4"/>
  <c r="L3" i="4"/>
  <c r="L51" i="4" s="1"/>
  <c r="K3" i="4"/>
  <c r="J3" i="4"/>
  <c r="J51" i="4" s="1"/>
  <c r="I3" i="4"/>
  <c r="H3" i="4"/>
  <c r="H51" i="4" s="1"/>
  <c r="F3" i="4"/>
  <c r="S3" i="4" s="1"/>
  <c r="R2" i="4"/>
  <c r="Q2" i="4"/>
  <c r="Q51" i="4" s="1"/>
  <c r="P2" i="4"/>
  <c r="O2" i="4"/>
  <c r="O51" i="4" s="1"/>
  <c r="N2" i="4"/>
  <c r="N51" i="4" s="1"/>
  <c r="M2" i="4"/>
  <c r="M51" i="4" s="1"/>
  <c r="L2" i="4"/>
  <c r="K2" i="4"/>
  <c r="K51" i="4" s="1"/>
  <c r="J2" i="4"/>
  <c r="I2" i="4"/>
  <c r="I51" i="4" s="1"/>
  <c r="H2" i="4"/>
  <c r="F2" i="4"/>
  <c r="S2" i="4" s="1"/>
  <c r="P62" i="3"/>
  <c r="P63" i="3" s="1"/>
  <c r="P64" i="3" s="1"/>
  <c r="J62" i="3"/>
  <c r="J63" i="3" s="1"/>
  <c r="J64" i="3" s="1"/>
  <c r="H62" i="3"/>
  <c r="H63" i="3" s="1"/>
  <c r="H64" i="3" s="1"/>
  <c r="P61" i="3"/>
  <c r="L61" i="3"/>
  <c r="K61" i="3"/>
  <c r="J61" i="3"/>
  <c r="H61" i="3"/>
  <c r="P58" i="3"/>
  <c r="O58" i="3"/>
  <c r="O62" i="3" s="1"/>
  <c r="O63" i="3" s="1"/>
  <c r="O64" i="3" s="1"/>
  <c r="K58" i="3"/>
  <c r="K62" i="3" s="1"/>
  <c r="K63" i="3" s="1"/>
  <c r="K64" i="3" s="1"/>
  <c r="J58" i="3"/>
  <c r="H58" i="3"/>
  <c r="G58" i="3"/>
  <c r="G62" i="3" s="1"/>
  <c r="G63" i="3" s="1"/>
  <c r="G64" i="3" s="1"/>
  <c r="Q57" i="3"/>
  <c r="Q61" i="3" s="1"/>
  <c r="P57" i="3"/>
  <c r="O57" i="3"/>
  <c r="O61" i="3" s="1"/>
  <c r="N57" i="3"/>
  <c r="N61" i="3" s="1"/>
  <c r="M57" i="3"/>
  <c r="M61" i="3" s="1"/>
  <c r="L57" i="3"/>
  <c r="L58" i="3" s="1"/>
  <c r="L62" i="3" s="1"/>
  <c r="L63" i="3" s="1"/>
  <c r="L64" i="3" s="1"/>
  <c r="K57" i="3"/>
  <c r="J57" i="3"/>
  <c r="I57" i="3"/>
  <c r="I61" i="3" s="1"/>
  <c r="H57" i="3"/>
  <c r="G57" i="3"/>
  <c r="G61" i="3" s="1"/>
  <c r="F57" i="3"/>
  <c r="F58" i="3" s="1"/>
  <c r="F62" i="3" s="1"/>
  <c r="F63" i="3" s="1"/>
  <c r="F64" i="3" s="1"/>
  <c r="E57" i="3"/>
  <c r="E58" i="3" s="1"/>
  <c r="R54" i="3"/>
  <c r="E54" i="3"/>
  <c r="R53" i="3"/>
  <c r="R52" i="3"/>
  <c r="E52" i="3"/>
  <c r="E51" i="3"/>
  <c r="R51" i="3" s="1"/>
  <c r="R50" i="3"/>
  <c r="E50" i="3"/>
  <c r="R49" i="3"/>
  <c r="E49" i="3"/>
  <c r="R48" i="3"/>
  <c r="E48" i="3"/>
  <c r="E47" i="3"/>
  <c r="R47" i="3" s="1"/>
  <c r="R46" i="3"/>
  <c r="E46" i="3"/>
  <c r="R45" i="3"/>
  <c r="E45" i="3"/>
  <c r="R44" i="3"/>
  <c r="E44" i="3"/>
  <c r="E43" i="3"/>
  <c r="R43" i="3" s="1"/>
  <c r="R42" i="3"/>
  <c r="E42" i="3"/>
  <c r="R41" i="3"/>
  <c r="E41" i="3"/>
  <c r="R40" i="3"/>
  <c r="E40" i="3"/>
  <c r="E39" i="3"/>
  <c r="R39" i="3" s="1"/>
  <c r="R38" i="3"/>
  <c r="E38" i="3"/>
  <c r="R37" i="3"/>
  <c r="E37" i="3"/>
  <c r="R36" i="3"/>
  <c r="E36" i="3"/>
  <c r="E35" i="3"/>
  <c r="R35" i="3" s="1"/>
  <c r="R34" i="3"/>
  <c r="E34" i="3"/>
  <c r="R33" i="3"/>
  <c r="E33" i="3"/>
  <c r="R32" i="3"/>
  <c r="E32" i="3"/>
  <c r="E31" i="3"/>
  <c r="R31" i="3" s="1"/>
  <c r="R30" i="3"/>
  <c r="E30" i="3"/>
  <c r="R29" i="3"/>
  <c r="E29" i="3"/>
  <c r="R28" i="3"/>
  <c r="E28" i="3"/>
  <c r="E27" i="3"/>
  <c r="R27" i="3" s="1"/>
  <c r="R26" i="3"/>
  <c r="E26" i="3"/>
  <c r="R25" i="3"/>
  <c r="E25" i="3"/>
  <c r="R24" i="3"/>
  <c r="E24" i="3"/>
  <c r="E23" i="3"/>
  <c r="R23" i="3" s="1"/>
  <c r="R22" i="3"/>
  <c r="E22" i="3"/>
  <c r="R21" i="3"/>
  <c r="E21" i="3"/>
  <c r="R20" i="3"/>
  <c r="E20" i="3"/>
  <c r="E19" i="3"/>
  <c r="R19" i="3" s="1"/>
  <c r="R18" i="3"/>
  <c r="E18" i="3"/>
  <c r="R17" i="3"/>
  <c r="E17" i="3"/>
  <c r="R16" i="3"/>
  <c r="E16" i="3"/>
  <c r="E15" i="3"/>
  <c r="R15" i="3" s="1"/>
  <c r="R14" i="3"/>
  <c r="E14" i="3"/>
  <c r="R13" i="3"/>
  <c r="E13" i="3"/>
  <c r="R12" i="3"/>
  <c r="E12" i="3"/>
  <c r="E11" i="3"/>
  <c r="R11" i="3" s="1"/>
  <c r="R10" i="3"/>
  <c r="E10" i="3"/>
  <c r="R9" i="3"/>
  <c r="E9" i="3"/>
  <c r="R8" i="3"/>
  <c r="E8" i="3"/>
  <c r="E7" i="3"/>
  <c r="R7" i="3" s="1"/>
  <c r="R6" i="3"/>
  <c r="E6" i="3"/>
  <c r="R5" i="3"/>
  <c r="E5" i="3"/>
  <c r="R4" i="3"/>
  <c r="E4" i="3"/>
  <c r="E3" i="3"/>
  <c r="R3" i="3" s="1"/>
  <c r="R2" i="3"/>
  <c r="E2" i="3"/>
  <c r="B100" i="2"/>
  <c r="C103" i="2" s="1"/>
  <c r="D103" i="2" s="1"/>
  <c r="D96" i="2"/>
  <c r="E96" i="2" s="1"/>
  <c r="D85" i="2"/>
  <c r="E85" i="2" s="1"/>
  <c r="C83" i="2"/>
  <c r="E78" i="2"/>
  <c r="D78" i="2"/>
  <c r="Q48" i="2"/>
  <c r="P48" i="2"/>
  <c r="N48" i="2"/>
  <c r="M48" i="2"/>
  <c r="I48" i="2"/>
  <c r="H48" i="2"/>
  <c r="F48" i="2"/>
  <c r="Q47" i="2"/>
  <c r="P47" i="2"/>
  <c r="O47" i="2"/>
  <c r="O48" i="2" s="1"/>
  <c r="N47" i="2"/>
  <c r="M47" i="2"/>
  <c r="L47" i="2"/>
  <c r="L48" i="2" s="1"/>
  <c r="K47" i="2"/>
  <c r="K48" i="2" s="1"/>
  <c r="J47" i="2"/>
  <c r="J48" i="2" s="1"/>
  <c r="I47" i="2"/>
  <c r="H47" i="2"/>
  <c r="G47" i="2"/>
  <c r="G48" i="2" s="1"/>
  <c r="F47" i="2"/>
  <c r="R44" i="2"/>
  <c r="S44" i="2" s="1"/>
  <c r="S43" i="2"/>
  <c r="R43" i="2"/>
  <c r="E43" i="2"/>
  <c r="E42" i="2"/>
  <c r="R42" i="2" s="1"/>
  <c r="S42" i="2" s="1"/>
  <c r="R41" i="2"/>
  <c r="S41" i="2" s="1"/>
  <c r="E41" i="2"/>
  <c r="E40" i="2"/>
  <c r="R40" i="2" s="1"/>
  <c r="S40" i="2" s="1"/>
  <c r="E39" i="2"/>
  <c r="R39" i="2" s="1"/>
  <c r="S39" i="2" s="1"/>
  <c r="S38" i="2"/>
  <c r="R38" i="2"/>
  <c r="E38" i="2"/>
  <c r="R37" i="2"/>
  <c r="S37" i="2" s="1"/>
  <c r="E37" i="2"/>
  <c r="E36" i="2"/>
  <c r="R36" i="2" s="1"/>
  <c r="S36" i="2" s="1"/>
  <c r="S35" i="2"/>
  <c r="R35" i="2"/>
  <c r="E35" i="2"/>
  <c r="E34" i="2"/>
  <c r="R34" i="2" s="1"/>
  <c r="S34" i="2" s="1"/>
  <c r="R33" i="2"/>
  <c r="S33" i="2" s="1"/>
  <c r="E33" i="2"/>
  <c r="E32" i="2"/>
  <c r="R32" i="2" s="1"/>
  <c r="S32" i="2" s="1"/>
  <c r="E31" i="2"/>
  <c r="R31" i="2" s="1"/>
  <c r="S31" i="2" s="1"/>
  <c r="S30" i="2"/>
  <c r="R30" i="2"/>
  <c r="E30" i="2"/>
  <c r="R29" i="2"/>
  <c r="S29" i="2" s="1"/>
  <c r="E29" i="2"/>
  <c r="E28" i="2"/>
  <c r="R28" i="2" s="1"/>
  <c r="S28" i="2" s="1"/>
  <c r="S27" i="2"/>
  <c r="R27" i="2"/>
  <c r="E27" i="2"/>
  <c r="E26" i="2"/>
  <c r="R26" i="2" s="1"/>
  <c r="S26" i="2" s="1"/>
  <c r="R25" i="2"/>
  <c r="S25" i="2" s="1"/>
  <c r="E25" i="2"/>
  <c r="E24" i="2"/>
  <c r="R24" i="2" s="1"/>
  <c r="S24" i="2" s="1"/>
  <c r="E23" i="2"/>
  <c r="R23" i="2" s="1"/>
  <c r="S23" i="2" s="1"/>
  <c r="S22" i="2"/>
  <c r="R22" i="2"/>
  <c r="E22" i="2"/>
  <c r="R21" i="2"/>
  <c r="S21" i="2" s="1"/>
  <c r="E21" i="2"/>
  <c r="E20" i="2"/>
  <c r="R20" i="2" s="1"/>
  <c r="S20" i="2" s="1"/>
  <c r="S19" i="2"/>
  <c r="R19" i="2"/>
  <c r="E19" i="2"/>
  <c r="E18" i="2"/>
  <c r="R18" i="2" s="1"/>
  <c r="S18" i="2" s="1"/>
  <c r="R17" i="2"/>
  <c r="S17" i="2" s="1"/>
  <c r="E17" i="2"/>
  <c r="E16" i="2"/>
  <c r="R16" i="2" s="1"/>
  <c r="S16" i="2" s="1"/>
  <c r="E15" i="2"/>
  <c r="R15" i="2" s="1"/>
  <c r="S15" i="2" s="1"/>
  <c r="S14" i="2"/>
  <c r="R14" i="2"/>
  <c r="E14" i="2"/>
  <c r="R13" i="2"/>
  <c r="S13" i="2" s="1"/>
  <c r="R12" i="2"/>
  <c r="S12" i="2" s="1"/>
  <c r="R11" i="2"/>
  <c r="S11" i="2" s="1"/>
  <c r="S10" i="2"/>
  <c r="R10" i="2"/>
  <c r="E10" i="2"/>
  <c r="E9" i="2"/>
  <c r="R9" i="2" s="1"/>
  <c r="S9" i="2" s="1"/>
  <c r="R8" i="2"/>
  <c r="S8" i="2" s="1"/>
  <c r="E8" i="2"/>
  <c r="E7" i="2"/>
  <c r="R7" i="2" s="1"/>
  <c r="S7" i="2" s="1"/>
  <c r="E6" i="2"/>
  <c r="R6" i="2" s="1"/>
  <c r="S6" i="2" s="1"/>
  <c r="S5" i="2"/>
  <c r="R5" i="2"/>
  <c r="E5" i="2"/>
  <c r="R4" i="2"/>
  <c r="S4" i="2" s="1"/>
  <c r="E4" i="2"/>
  <c r="E3" i="2"/>
  <c r="E47" i="2" s="1"/>
  <c r="E48" i="2" s="1"/>
  <c r="S2" i="2"/>
  <c r="R2" i="2"/>
  <c r="E2" i="2"/>
  <c r="R57" i="3" l="1"/>
  <c r="R54" i="15"/>
  <c r="S51" i="4"/>
  <c r="M58" i="3"/>
  <c r="M62" i="3" s="1"/>
  <c r="M63" i="3" s="1"/>
  <c r="M64" i="3" s="1"/>
  <c r="N58" i="3"/>
  <c r="N62" i="3" s="1"/>
  <c r="N63" i="3" s="1"/>
  <c r="N64" i="3" s="1"/>
  <c r="R3" i="2"/>
  <c r="I58" i="3"/>
  <c r="I62" i="3" s="1"/>
  <c r="I63" i="3" s="1"/>
  <c r="I64" i="3" s="1"/>
  <c r="Q58" i="3"/>
  <c r="Q62" i="3" s="1"/>
  <c r="Q63" i="3" s="1"/>
  <c r="Q64" i="3" s="1"/>
  <c r="S3" i="2" l="1"/>
  <c r="R47" i="2"/>
</calcChain>
</file>

<file path=xl/sharedStrings.xml><?xml version="1.0" encoding="utf-8"?>
<sst xmlns="http://schemas.openxmlformats.org/spreadsheetml/2006/main" count="1651" uniqueCount="309">
  <si>
    <t>Sr. No.</t>
  </si>
  <si>
    <t>Client Name</t>
  </si>
  <si>
    <t>Seat Name</t>
  </si>
  <si>
    <t>Billing ($)</t>
  </si>
  <si>
    <t>Billing (Rs.)</t>
  </si>
  <si>
    <t>Salary/Payroll</t>
  </si>
  <si>
    <t>Bench Payroll</t>
  </si>
  <si>
    <t>Marketing &amp; BD</t>
  </si>
  <si>
    <t>HR, Admin, Mngt</t>
  </si>
  <si>
    <t>Software</t>
  </si>
  <si>
    <t>JobBoards</t>
  </si>
  <si>
    <t>Infrastructure</t>
  </si>
  <si>
    <t>Rent</t>
  </si>
  <si>
    <t>Travel</t>
  </si>
  <si>
    <t>Meals</t>
  </si>
  <si>
    <t>Fees &amp; Charges</t>
  </si>
  <si>
    <t>Other Expenses</t>
  </si>
  <si>
    <t>Balance</t>
  </si>
  <si>
    <t>Aptonet</t>
  </si>
  <si>
    <t>Veerendra/Veer</t>
  </si>
  <si>
    <t>Nikunj</t>
  </si>
  <si>
    <t>Fusion Solutions</t>
  </si>
  <si>
    <t>Manish</t>
  </si>
  <si>
    <t>Tausif Shaikh</t>
  </si>
  <si>
    <t>Rajat</t>
  </si>
  <si>
    <t>Harris Allied</t>
  </si>
  <si>
    <t>Anand</t>
  </si>
  <si>
    <t>IT-Mantra</t>
  </si>
  <si>
    <t>Harsh</t>
  </si>
  <si>
    <t>Tanvi</t>
  </si>
  <si>
    <t>IT- Mantra/ revenue share</t>
  </si>
  <si>
    <t>Chintan</t>
  </si>
  <si>
    <t>Purnayu</t>
  </si>
  <si>
    <t>Abhay Panchal</t>
  </si>
  <si>
    <t>Advanced Resources Group</t>
  </si>
  <si>
    <t>Dhruv</t>
  </si>
  <si>
    <t>Amardeep</t>
  </si>
  <si>
    <t>Jerry John Murphy</t>
  </si>
  <si>
    <t>Vaishnav Bhopale</t>
  </si>
  <si>
    <t>Dorcas</t>
  </si>
  <si>
    <t>Shivani Pawar</t>
  </si>
  <si>
    <t>Pranali</t>
  </si>
  <si>
    <t>Ankit Chaudhary</t>
  </si>
  <si>
    <t>Krishna Shah</t>
  </si>
  <si>
    <t>Prerna Chhetry</t>
  </si>
  <si>
    <t>Pratik</t>
  </si>
  <si>
    <t>Sayva solution</t>
  </si>
  <si>
    <t>Jenish</t>
  </si>
  <si>
    <t>Dipak</t>
  </si>
  <si>
    <t>Arpit Patel</t>
  </si>
  <si>
    <t>Isphere</t>
  </si>
  <si>
    <t>Vikas Rawat</t>
  </si>
  <si>
    <t>Tanmay</t>
  </si>
  <si>
    <t>Fidelus</t>
  </si>
  <si>
    <t>Vinodh K</t>
  </si>
  <si>
    <t>Amritha</t>
  </si>
  <si>
    <t>Sanjay Singh Chawla</t>
  </si>
  <si>
    <t>Madison</t>
  </si>
  <si>
    <t>Uvesh Kadri</t>
  </si>
  <si>
    <t>TalentBurst</t>
  </si>
  <si>
    <t>Darshit</t>
  </si>
  <si>
    <t>W3R</t>
  </si>
  <si>
    <t>Vinayak</t>
  </si>
  <si>
    <t>Rochelle</t>
  </si>
  <si>
    <t>Mudassar</t>
  </si>
  <si>
    <t>Ravi Kumar</t>
  </si>
  <si>
    <t>Shivam Tiwari</t>
  </si>
  <si>
    <t>Pooja Kumari</t>
  </si>
  <si>
    <t>Vishal Patel</t>
  </si>
  <si>
    <t>Viraj</t>
  </si>
  <si>
    <t>NetEffects</t>
  </si>
  <si>
    <t>Sameer Tripathi</t>
  </si>
  <si>
    <t xml:space="preserve">Amatel </t>
  </si>
  <si>
    <t>Lalit Bedade</t>
  </si>
  <si>
    <t>Bond Health Staffing</t>
  </si>
  <si>
    <t>Bhaskar Pandit</t>
  </si>
  <si>
    <t>Careers Launch Talent Group</t>
  </si>
  <si>
    <t>Akash Upadhyay</t>
  </si>
  <si>
    <t>Nandini Raj</t>
  </si>
  <si>
    <t>Ankit Sharma</t>
  </si>
  <si>
    <t>Parth Chauhan</t>
  </si>
  <si>
    <t>Vishrut (Vic)</t>
  </si>
  <si>
    <t>Total</t>
  </si>
  <si>
    <t>Average</t>
  </si>
  <si>
    <t>Abhilas Das</t>
  </si>
  <si>
    <t>Akash Pillay</t>
  </si>
  <si>
    <t>Amit Odedra</t>
  </si>
  <si>
    <t>Arthur Joseph</t>
  </si>
  <si>
    <t>Parth Sonar</t>
  </si>
  <si>
    <t>Sanket Khatavkar</t>
  </si>
  <si>
    <t>Shravan Korde</t>
  </si>
  <si>
    <t>Shubham Kanojiya</t>
  </si>
  <si>
    <t>Vijay Bhati</t>
  </si>
  <si>
    <t>Marketing</t>
  </si>
  <si>
    <t>Adarsh Patanayak</t>
  </si>
  <si>
    <t>Anjali Jaiswal</t>
  </si>
  <si>
    <t>Dominic Daniel</t>
  </si>
  <si>
    <t>Salary</t>
  </si>
  <si>
    <t>MGT</t>
  </si>
  <si>
    <t>Hinal Sapra</t>
  </si>
  <si>
    <t>Jackson Sharma</t>
  </si>
  <si>
    <t>Jinesh Patel</t>
  </si>
  <si>
    <t>Monica Goswami</t>
  </si>
  <si>
    <t>Namrata Trivedi</t>
  </si>
  <si>
    <t>Nishant Trivedi</t>
  </si>
  <si>
    <t>Surajit Goswami</t>
  </si>
  <si>
    <t>Vaibhav Dave</t>
  </si>
  <si>
    <t>Satyen Chokshi</t>
  </si>
  <si>
    <t>Margin %</t>
  </si>
  <si>
    <t>Parth</t>
  </si>
  <si>
    <t>Continuant</t>
  </si>
  <si>
    <t>Bench</t>
  </si>
  <si>
    <t>Anand Prakash</t>
  </si>
  <si>
    <t>Vishrut Buch</t>
  </si>
  <si>
    <t>BD</t>
  </si>
  <si>
    <t>Monster</t>
  </si>
  <si>
    <t>CareerBuilder</t>
  </si>
  <si>
    <t>CEIPAL CORP.</t>
  </si>
  <si>
    <t>Linkedin</t>
  </si>
  <si>
    <t>Dice</t>
  </si>
  <si>
    <t>US Expenses</t>
  </si>
  <si>
    <t>Amount</t>
  </si>
  <si>
    <t>Brett</t>
  </si>
  <si>
    <t>Jen</t>
  </si>
  <si>
    <t>Fibin C</t>
  </si>
  <si>
    <t>Execu search/ Tandym</t>
  </si>
  <si>
    <t>Taresh</t>
  </si>
  <si>
    <t>Gunjan</t>
  </si>
  <si>
    <t>Harshil</t>
  </si>
  <si>
    <t>Aashutosh</t>
  </si>
  <si>
    <t>Haripriya</t>
  </si>
  <si>
    <t>Ivory System</t>
  </si>
  <si>
    <t>Upasana</t>
  </si>
  <si>
    <t>Talentrust</t>
  </si>
  <si>
    <t>Sanket</t>
  </si>
  <si>
    <t>Rylem Staffing</t>
  </si>
  <si>
    <t>Vishrut</t>
  </si>
  <si>
    <t>45 Billing seats</t>
  </si>
  <si>
    <t>55 Billing Seats</t>
  </si>
  <si>
    <t>Estimate</t>
  </si>
  <si>
    <t>Difference Act VS Est</t>
  </si>
  <si>
    <t>Diff in total</t>
  </si>
  <si>
    <t>$ value</t>
  </si>
  <si>
    <t>Branch</t>
  </si>
  <si>
    <t>Ekansh</t>
  </si>
  <si>
    <t xml:space="preserve">Mudassar </t>
  </si>
  <si>
    <t>Ashok</t>
  </si>
  <si>
    <t>Maya</t>
  </si>
  <si>
    <t>Workforce Connections</t>
  </si>
  <si>
    <t>Urvashi</t>
  </si>
  <si>
    <t>Snehal</t>
  </si>
  <si>
    <t>Flaherty &amp; Collins</t>
  </si>
  <si>
    <t>Stability Healthcare</t>
  </si>
  <si>
    <t>Sidharth Nelson</t>
  </si>
  <si>
    <t>Satyam Gupta</t>
  </si>
  <si>
    <t>Sandip Raj</t>
  </si>
  <si>
    <t>Zoe Holding (Covelo Group)</t>
  </si>
  <si>
    <t>Akansha</t>
  </si>
  <si>
    <t>Rachel</t>
  </si>
  <si>
    <t>Anushka</t>
  </si>
  <si>
    <t>Nandini</t>
  </si>
  <si>
    <t>Robertson &amp; Company</t>
  </si>
  <si>
    <t>Amit</t>
  </si>
  <si>
    <t>-</t>
  </si>
  <si>
    <t>Kimaya</t>
  </si>
  <si>
    <t>Akash Pilay</t>
  </si>
  <si>
    <t>Amardeep Lad</t>
  </si>
  <si>
    <t>Ashutosh Dhobi</t>
  </si>
  <si>
    <t>Pune</t>
  </si>
  <si>
    <t>Chintan bhedi</t>
  </si>
  <si>
    <t>Darshit Modi</t>
  </si>
  <si>
    <t>Dhruv Shah</t>
  </si>
  <si>
    <t>Dipak Saud</t>
  </si>
  <si>
    <t>Dorcas Darla</t>
  </si>
  <si>
    <t>Gunjan Dholakia</t>
  </si>
  <si>
    <t>Harsh Mistry</t>
  </si>
  <si>
    <t>Harshil Postariya</t>
  </si>
  <si>
    <t>Jenish Gandhi</t>
  </si>
  <si>
    <t>Jerry Murphy</t>
  </si>
  <si>
    <t>Krishna shah</t>
  </si>
  <si>
    <t>Manish Verma</t>
  </si>
  <si>
    <t>Mudassar Kadri</t>
  </si>
  <si>
    <t>Nikunj Pardeshi</t>
  </si>
  <si>
    <t>Pratik Shrimali</t>
  </si>
  <si>
    <t>Pranali Wanve</t>
  </si>
  <si>
    <t>Purnayu Makwana</t>
  </si>
  <si>
    <t>Rajat Gupta</t>
  </si>
  <si>
    <t>Rochelle Extross</t>
  </si>
  <si>
    <t>Tanvi Kashta</t>
  </si>
  <si>
    <t>Tonmay Burai</t>
  </si>
  <si>
    <t>Upasana Mewani</t>
  </si>
  <si>
    <t>Vinayak Rawal</t>
  </si>
  <si>
    <t>Virendra Singh</t>
  </si>
  <si>
    <t>BRC</t>
  </si>
  <si>
    <t>Taresh Ezava</t>
  </si>
  <si>
    <t>Mngt</t>
  </si>
  <si>
    <t>Admin</t>
  </si>
  <si>
    <t>HR</t>
  </si>
  <si>
    <t>Namrata Mehta</t>
  </si>
  <si>
    <t>AMD</t>
  </si>
  <si>
    <t>Viraj Dave</t>
  </si>
  <si>
    <t>PNQ</t>
  </si>
  <si>
    <t>Mayur Mahajan</t>
  </si>
  <si>
    <t>MARKETING</t>
  </si>
  <si>
    <t>Virendra</t>
  </si>
  <si>
    <t>Savya Solution</t>
  </si>
  <si>
    <t>Urvashi Chavda</t>
  </si>
  <si>
    <t xml:space="preserve">Pratima </t>
  </si>
  <si>
    <t>Anushka Mukherjee</t>
  </si>
  <si>
    <t>Ekansh Satwik</t>
  </si>
  <si>
    <t>Snahil Gupta</t>
  </si>
  <si>
    <t>Ankit</t>
  </si>
  <si>
    <t>Categories</t>
  </si>
  <si>
    <t>Name</t>
  </si>
  <si>
    <t>Amount (INR)</t>
  </si>
  <si>
    <t>Amount ($)</t>
  </si>
  <si>
    <t>Payroll - Non Bill</t>
  </si>
  <si>
    <t>Ashok Kumar</t>
  </si>
  <si>
    <t>Raghav Gupta</t>
  </si>
  <si>
    <t>Sahil Kaushal</t>
  </si>
  <si>
    <t>Management</t>
  </si>
  <si>
    <t>kenzie</t>
  </si>
  <si>
    <t>Brett Williams</t>
  </si>
  <si>
    <t>Payroll - Billing</t>
  </si>
  <si>
    <t>Madhuri Joshi</t>
  </si>
  <si>
    <t>Sandeep Raj</t>
  </si>
  <si>
    <t>Gourav Takkar</t>
  </si>
  <si>
    <t>Mihir Gosai</t>
  </si>
  <si>
    <t>Sandeep Pati</t>
  </si>
  <si>
    <t>Ankita Tripathi</t>
  </si>
  <si>
    <t>Particulars</t>
  </si>
  <si>
    <t>AMount ( INR)</t>
  </si>
  <si>
    <t>Ahmedabad Office Rent (DEVX)</t>
  </si>
  <si>
    <t>Pune Office Rent (EFC)</t>
  </si>
  <si>
    <t>Baroda DevX office Rent</t>
  </si>
  <si>
    <t>Mumbai Office Rent</t>
  </si>
  <si>
    <t>Rashmikant Chokshi</t>
  </si>
  <si>
    <t>Regus Management Group BC</t>
  </si>
  <si>
    <t>BALAJI COMPUTERS</t>
  </si>
  <si>
    <t>Varday Infotech</t>
  </si>
  <si>
    <t>Nakoda Marketing</t>
  </si>
  <si>
    <t>Software &amp; Tech</t>
  </si>
  <si>
    <t>360 strats</t>
  </si>
  <si>
    <t>8X8 INC.</t>
  </si>
  <si>
    <t>Adob</t>
  </si>
  <si>
    <t>APPLE STORE</t>
  </si>
  <si>
    <t>CHATGPT &amp; CLOUD AI SUBSCRIPTION</t>
  </si>
  <si>
    <t>COPYLEAKS TECHNOLOGIES</t>
  </si>
  <si>
    <t>Google Drive</t>
  </si>
  <si>
    <t>GreytHR</t>
  </si>
  <si>
    <t>INTUIT *QBooks Online</t>
  </si>
  <si>
    <t>Microsoft</t>
  </si>
  <si>
    <t>MSFT * E0500QI6AU</t>
  </si>
  <si>
    <t>NORD* LAYER</t>
  </si>
  <si>
    <t>REPLIT  INC.</t>
  </si>
  <si>
    <r>
      <rPr>
        <u/>
        <sz val="12"/>
        <color rgb="FF1155CC"/>
        <rFont val="&quot;Aptos Narrow&quot;"/>
      </rPr>
      <t>WWW.STICKERYOU.COM</t>
    </r>
  </si>
  <si>
    <t>Zoom</t>
  </si>
  <si>
    <t>FutureEdge</t>
  </si>
  <si>
    <t>Credit Card Charges</t>
  </si>
  <si>
    <t>Mobile &amp; Internet Charges</t>
  </si>
  <si>
    <t>Job Boards</t>
  </si>
  <si>
    <t>Travelling &amp; Petrol Exp</t>
  </si>
  <si>
    <t>Cab for Pune</t>
  </si>
  <si>
    <t>Brett Exp</t>
  </si>
  <si>
    <t>Satyen Sir Stay &amp; Travel Exp</t>
  </si>
  <si>
    <t>Ahmedabad Canteen ( CaterBucks)</t>
  </si>
  <si>
    <t>Baroda Canteen (Sanjay Mahale)</t>
  </si>
  <si>
    <t>Baroda Canteen ( Jalaram Canteen)</t>
  </si>
  <si>
    <t>Pune Canteen (Prateek)</t>
  </si>
  <si>
    <t>Pune Canteen (US Special Tea Shop)</t>
  </si>
  <si>
    <t>Food (Nishant &amp; Satyen)</t>
  </si>
  <si>
    <t>Bonus &amp; Incentive</t>
  </si>
  <si>
    <t>Incentives</t>
  </si>
  <si>
    <t>Other Expense</t>
  </si>
  <si>
    <t>Sports &amp; Games Exp</t>
  </si>
  <si>
    <t>Gift to Employee</t>
  </si>
  <si>
    <t>Event &amp; Birthday Celebrations</t>
  </si>
  <si>
    <t>JUSTWORKS TAX</t>
  </si>
  <si>
    <t>NALTO (Conference)</t>
  </si>
  <si>
    <t>UNION COWORK</t>
  </si>
  <si>
    <t>Stationary &amp; Printing Exp</t>
  </si>
  <si>
    <t>DE.JIMDO.COM</t>
  </si>
  <si>
    <t>IN *JSFIRM LLC</t>
  </si>
  <si>
    <t>WIX</t>
  </si>
  <si>
    <t>LinkedIn</t>
  </si>
  <si>
    <t>VIPER TRADESHOW SERVICES</t>
  </si>
  <si>
    <t>ASC COMMUNICATIONS LL</t>
  </si>
  <si>
    <t>MINUTEMAN PRESS LAKE OS</t>
  </si>
  <si>
    <t>Other Tools &amp; Machinery</t>
  </si>
  <si>
    <t>GUHUZA.COM</t>
  </si>
  <si>
    <t>SALESFORCE</t>
  </si>
  <si>
    <t>Hotel Stay Exps</t>
  </si>
  <si>
    <t>Courier Charges</t>
  </si>
  <si>
    <t>FRANCHISE TAX</t>
  </si>
  <si>
    <t>Akansha Gupta</t>
  </si>
  <si>
    <t>New Added</t>
  </si>
  <si>
    <t>NALTO</t>
  </si>
  <si>
    <t xml:space="preserve">LinkedIn </t>
  </si>
  <si>
    <t>TR</t>
  </si>
  <si>
    <t>HT</t>
  </si>
  <si>
    <t>Aamir Siddiqui</t>
  </si>
  <si>
    <t>Noida</t>
  </si>
  <si>
    <t xml:space="preserve">Rishi Sharma </t>
  </si>
  <si>
    <t>Pranjal Dubey</t>
  </si>
  <si>
    <t>Punita Singh</t>
  </si>
  <si>
    <t>Kshitiz Sharma</t>
  </si>
  <si>
    <t>Sanskriti Sabharwal</t>
  </si>
  <si>
    <t>Gagan Jha</t>
  </si>
  <si>
    <t>Madhuri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</si>
</sst>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"/>
    <numFmt numFmtId="165" formatCode="[$₹]#,##0"/>
    <numFmt numFmtId="166" formatCode="[$₹]#,##0.00"/>
    <numFmt numFmtId="167" formatCode="[$$]#,##0.00"/>
    <numFmt numFmtId="168" formatCode="[$$-409]#,##0.00"/>
  </numFmts>
  <fonts count="30">
    <font>
      <sz val="10"/>
      <color rgb="FF000000"/>
      <name val="Arial"/>
      <scheme val="minor"/>
    </font>
    <font>
      <b/>
      <sz val="11"/>
      <color theme="1"/>
      <name val="Avenir"/>
      <family val="2"/>
    </font>
    <font>
      <b/>
      <sz val="10"/>
      <color theme="1"/>
      <name val="Arial"/>
      <family val="2"/>
      <scheme val="minor"/>
    </font>
    <font>
      <sz val="11"/>
      <color rgb="FF000000"/>
      <name val="Avenir"/>
      <family val="2"/>
    </font>
    <font>
      <b/>
      <sz val="10"/>
      <color theme="1"/>
      <name val="Avenir"/>
      <family val="2"/>
    </font>
    <font>
      <sz val="10"/>
      <color theme="1"/>
      <name val="Arial"/>
      <family val="2"/>
      <scheme val="minor"/>
    </font>
    <font>
      <sz val="11"/>
      <color rgb="FF201F1E"/>
      <name val="Avenir"/>
      <family val="2"/>
    </font>
    <font>
      <sz val="11"/>
      <color theme="1"/>
      <name val="Avenir"/>
      <family val="2"/>
    </font>
    <font>
      <sz val="10"/>
      <color theme="1"/>
      <name val="Arial"/>
      <family val="2"/>
    </font>
    <font>
      <b/>
      <sz val="10"/>
      <color rgb="FF000000"/>
      <name val="Avenir"/>
      <family val="2"/>
    </font>
    <font>
      <sz val="10"/>
      <color rgb="FF000000"/>
      <name val="Arial"/>
      <family val="2"/>
    </font>
    <font>
      <sz val="10"/>
      <color theme="1"/>
      <name val="Avenir"/>
      <family val="2"/>
    </font>
    <font>
      <b/>
      <sz val="11"/>
      <color rgb="FF000000"/>
      <name val="Avenir"/>
      <family val="2"/>
    </font>
    <font>
      <sz val="11"/>
      <color rgb="FF000000"/>
      <name val="Calibri"/>
      <family val="2"/>
    </font>
    <font>
      <sz val="10"/>
      <color rgb="FF000000"/>
      <name val="Avenir"/>
      <family val="2"/>
    </font>
    <font>
      <sz val="10"/>
      <color theme="1"/>
      <name val="Avenir"/>
      <family val="2"/>
    </font>
    <font>
      <u/>
      <sz val="11"/>
      <color rgb="FF000000"/>
      <name val="Avenir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theme="1"/>
      <name val="Verdana"/>
      <family val="2"/>
    </font>
    <font>
      <u/>
      <sz val="12"/>
      <color rgb="FF0091DE"/>
      <name val="Aptos Narrow"/>
    </font>
    <font>
      <sz val="10"/>
      <color theme="1"/>
      <name val="Verdana"/>
      <family val="2"/>
    </font>
    <font>
      <u/>
      <sz val="10"/>
      <color rgb="FF0000FF"/>
      <name val="Avenir"/>
      <family val="2"/>
    </font>
    <font>
      <b/>
      <i/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Avenir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u/>
      <sz val="12"/>
      <color rgb="FF1155CC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/>
    </xf>
    <xf numFmtId="0" fontId="5" fillId="0" borderId="0" xfId="0" applyFont="1"/>
    <xf numFmtId="166" fontId="3" fillId="5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0" fontId="5" fillId="3" borderId="0" xfId="0" applyFont="1" applyFill="1"/>
    <xf numFmtId="166" fontId="3" fillId="3" borderId="3" xfId="0" applyNumberFormat="1" applyFont="1" applyFill="1" applyBorder="1" applyAlignment="1">
      <alignment horizontal="center"/>
    </xf>
    <xf numFmtId="0" fontId="7" fillId="0" borderId="0" xfId="0" applyFont="1"/>
    <xf numFmtId="3" fontId="3" fillId="3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165" fontId="7" fillId="0" borderId="0" xfId="0" applyNumberFormat="1" applyFont="1"/>
    <xf numFmtId="166" fontId="7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right"/>
    </xf>
    <xf numFmtId="0" fontId="8" fillId="3" borderId="0" xfId="0" applyFont="1" applyFill="1"/>
    <xf numFmtId="0" fontId="8" fillId="3" borderId="0" xfId="0" applyFont="1" applyFill="1" applyAlignment="1">
      <alignment horizontal="right"/>
    </xf>
    <xf numFmtId="2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/>
    <xf numFmtId="0" fontId="10" fillId="0" borderId="0" xfId="0" applyFont="1"/>
    <xf numFmtId="0" fontId="11" fillId="3" borderId="0" xfId="0" applyFont="1" applyFill="1"/>
    <xf numFmtId="1" fontId="11" fillId="3" borderId="0" xfId="0" applyNumberFormat="1" applyFont="1" applyFill="1"/>
    <xf numFmtId="0" fontId="12" fillId="3" borderId="2" xfId="0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6" fontId="3" fillId="5" borderId="3" xfId="0" applyNumberFormat="1" applyFont="1" applyFill="1" applyBorder="1" applyAlignment="1">
      <alignment horizontal="center"/>
    </xf>
    <xf numFmtId="0" fontId="13" fillId="0" borderId="0" xfId="0" applyFont="1"/>
    <xf numFmtId="0" fontId="14" fillId="3" borderId="0" xfId="0" applyFont="1" applyFill="1"/>
    <xf numFmtId="1" fontId="15" fillId="3" borderId="0" xfId="0" applyNumberFormat="1" applyFont="1" applyFill="1" applyAlignment="1">
      <alignment horizontal="right"/>
    </xf>
    <xf numFmtId="3" fontId="13" fillId="0" borderId="0" xfId="0" applyNumberFormat="1" applyFont="1"/>
    <xf numFmtId="0" fontId="13" fillId="0" borderId="0" xfId="0" applyFont="1" applyAlignment="1">
      <alignment horizontal="right"/>
    </xf>
    <xf numFmtId="1" fontId="13" fillId="0" borderId="0" xfId="0" applyNumberFormat="1" applyFont="1"/>
    <xf numFmtId="1" fontId="15" fillId="3" borderId="0" xfId="0" applyNumberFormat="1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165" fontId="1" fillId="2" borderId="3" xfId="0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6" fontId="3" fillId="4" borderId="3" xfId="0" applyNumberFormat="1" applyFont="1" applyFill="1" applyBorder="1" applyAlignment="1">
      <alignment horizontal="center"/>
    </xf>
    <xf numFmtId="165" fontId="5" fillId="0" borderId="0" xfId="0" applyNumberFormat="1" applyFont="1"/>
    <xf numFmtId="0" fontId="3" fillId="0" borderId="3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4" fillId="6" borderId="0" xfId="0" applyFont="1" applyFill="1"/>
    <xf numFmtId="0" fontId="14" fillId="3" borderId="0" xfId="0" applyFont="1" applyFill="1" applyAlignment="1">
      <alignment horizontal="center"/>
    </xf>
    <xf numFmtId="0" fontId="14" fillId="2" borderId="0" xfId="0" applyFont="1" applyFill="1"/>
    <xf numFmtId="0" fontId="14" fillId="3" borderId="0" xfId="0" applyFont="1" applyFill="1" applyAlignment="1">
      <alignment horizontal="right"/>
    </xf>
    <xf numFmtId="0" fontId="16" fillId="3" borderId="3" xfId="0" applyFont="1" applyFill="1" applyBorder="1" applyAlignment="1">
      <alignment horizontal="center"/>
    </xf>
    <xf numFmtId="0" fontId="11" fillId="3" borderId="0" xfId="0" applyFont="1" applyFill="1" applyAlignment="1">
      <alignment horizontal="left"/>
    </xf>
    <xf numFmtId="164" fontId="11" fillId="3" borderId="3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17" fillId="6" borderId="0" xfId="0" applyFont="1" applyFill="1"/>
    <xf numFmtId="0" fontId="17" fillId="6" borderId="0" xfId="0" applyFont="1" applyFill="1" applyAlignment="1">
      <alignment horizontal="left"/>
    </xf>
    <xf numFmtId="167" fontId="17" fillId="6" borderId="0" xfId="0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/>
    <xf numFmtId="167" fontId="5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9" fillId="3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67" fontId="17" fillId="6" borderId="0" xfId="0" applyNumberFormat="1" applyFont="1" applyFill="1"/>
    <xf numFmtId="167" fontId="5" fillId="0" borderId="0" xfId="0" applyNumberFormat="1" applyFont="1"/>
    <xf numFmtId="0" fontId="20" fillId="3" borderId="0" xfId="0" applyFont="1" applyFill="1"/>
    <xf numFmtId="0" fontId="21" fillId="0" borderId="0" xfId="0" applyFont="1"/>
    <xf numFmtId="0" fontId="22" fillId="0" borderId="0" xfId="0" applyFont="1"/>
    <xf numFmtId="0" fontId="20" fillId="0" borderId="0" xfId="0" applyFont="1"/>
    <xf numFmtId="0" fontId="18" fillId="6" borderId="0" xfId="0" applyFont="1" applyFill="1"/>
    <xf numFmtId="0" fontId="23" fillId="3" borderId="0" xfId="0" applyFont="1" applyFill="1"/>
    <xf numFmtId="0" fontId="24" fillId="3" borderId="0" xfId="0" applyFont="1" applyFill="1"/>
    <xf numFmtId="0" fontId="25" fillId="0" borderId="0" xfId="0" applyFont="1"/>
    <xf numFmtId="0" fontId="24" fillId="0" borderId="0" xfId="0" applyFont="1"/>
    <xf numFmtId="0" fontId="26" fillId="0" borderId="3" xfId="0" applyFont="1" applyBorder="1" applyAlignment="1">
      <alignment horizontal="left"/>
    </xf>
    <xf numFmtId="0" fontId="27" fillId="0" borderId="0" xfId="0" applyFont="1"/>
    <xf numFmtId="0" fontId="27" fillId="3" borderId="0" xfId="0" applyFont="1" applyFill="1" applyAlignment="1">
      <alignment horizontal="right"/>
    </xf>
    <xf numFmtId="0" fontId="28" fillId="0" borderId="0" xfId="0" applyFont="1"/>
    <xf numFmtId="0" fontId="4" fillId="3" borderId="0" xfId="0" applyFont="1" applyFill="1"/>
    <xf numFmtId="0" fontId="5" fillId="4" borderId="0" xfId="0" applyFont="1" applyFill="1"/>
    <xf numFmtId="0" fontId="12" fillId="3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rgb="FFE0F7FA"/>
          <bgColor rgb="FFE0F7FA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B6D7A8"/>
          <bgColor rgb="FFB6D7A8"/>
        </patternFill>
      </fill>
    </dxf>
  </dxfs>
  <tableStyles count="6">
    <tableStyle name="Expenses-Feb26-style" pivot="0" count="2" xr9:uid="{00000000-0011-0000-FFFF-FFFF00000000}">
      <tableStyleElement type="firstRowStripe" dxfId="11"/>
      <tableStyleElement type="secondRowStripe" dxfId="10"/>
    </tableStyle>
    <tableStyle name="Expenses-Feb26-style 2" pivot="0" count="2" xr9:uid="{00000000-0011-0000-FFFF-FFFF01000000}">
      <tableStyleElement type="firstRowStripe" dxfId="9"/>
      <tableStyleElement type="secondRowStripe" dxfId="8"/>
    </tableStyle>
    <tableStyle name="Expenses-Feb26-style 3" pivot="0" count="2" xr9:uid="{00000000-0011-0000-FFFF-FFFF02000000}">
      <tableStyleElement type="firstRowStripe" dxfId="7"/>
      <tableStyleElement type="secondRowStripe" dxfId="6"/>
    </tableStyle>
    <tableStyle name="Expenses-March26-style" pivot="0" count="2" xr9:uid="{00000000-0011-0000-FFFF-FFFF03000000}">
      <tableStyleElement type="firstRowStripe" dxfId="5"/>
      <tableStyleElement type="secondRowStripe" dxfId="4"/>
    </tableStyle>
    <tableStyle name="Expenses-March26-style 2" pivot="0" count="2" xr9:uid="{00000000-0011-0000-FFFF-FFFF04000000}">
      <tableStyleElement type="firstRowStripe" dxfId="3"/>
      <tableStyleElement type="secondRowStripe" dxfId="2"/>
    </tableStyle>
    <tableStyle name="Expenses-March26-style 3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:C7" headerRowCount="0">
  <tableColumns count="1">
    <tableColumn id="1" xr3:uid="{00000000-0010-0000-0000-000001000000}" name="Column1"/>
  </tableColumns>
  <tableStyleInfo name="Expenses-Feb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8:C9" headerRowCount="0">
  <tableColumns count="1">
    <tableColumn id="1" xr3:uid="{00000000-0010-0000-0100-000001000000}" name="Column1"/>
  </tableColumns>
  <tableStyleInfo name="Expenses-Feb26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1:C21" headerRowCount="0">
  <tableColumns count="1">
    <tableColumn id="1" xr3:uid="{00000000-0010-0000-0200-000001000000}" name="Column1"/>
  </tableColumns>
  <tableStyleInfo name="Expenses-Feb26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ickeryou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www.stickeryou.com/" TargetMode="External"/><Relationship Id="rId1" Type="http://schemas.openxmlformats.org/officeDocument/2006/relationships/hyperlink" Target="http://de.jimdo.com/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://guhuza.com/" TargetMode="External"/><Relationship Id="rId1" Type="http://schemas.openxmlformats.org/officeDocument/2006/relationships/hyperlink" Target="http://de.jimd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5"/>
  <sheetViews>
    <sheetView workbookViewId="0"/>
  </sheetViews>
  <sheetFormatPr baseColWidth="10" defaultColWidth="12.6640625" defaultRowHeight="15.75" customHeight="1"/>
  <cols>
    <col min="2" max="2" width="23.6640625" customWidth="1"/>
    <col min="3" max="3" width="17.8320312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4" t="s">
        <v>108</v>
      </c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4">
        <v>1</v>
      </c>
      <c r="B2" s="5" t="s">
        <v>18</v>
      </c>
      <c r="C2" s="5" t="s">
        <v>19</v>
      </c>
      <c r="D2" s="6">
        <v>2350</v>
      </c>
      <c r="E2" s="7">
        <f t="shared" ref="E2:E10" si="0">D2*85</f>
        <v>199750</v>
      </c>
      <c r="F2" s="8">
        <v>126801</v>
      </c>
      <c r="G2" s="8">
        <v>14890</v>
      </c>
      <c r="H2" s="8">
        <v>6953</v>
      </c>
      <c r="I2" s="8">
        <v>35467</v>
      </c>
      <c r="J2" s="8">
        <v>6567</v>
      </c>
      <c r="K2" s="7">
        <v>16707</v>
      </c>
      <c r="L2" s="8">
        <v>3690</v>
      </c>
      <c r="M2" s="8">
        <v>24380</v>
      </c>
      <c r="N2" s="8">
        <v>4760</v>
      </c>
      <c r="O2" s="8">
        <v>3093</v>
      </c>
      <c r="P2" s="8">
        <v>2962</v>
      </c>
      <c r="Q2" s="8">
        <v>1538</v>
      </c>
      <c r="R2" s="7">
        <f t="shared" ref="R2:R44" si="1">E2-SUM(F2:Q2)</f>
        <v>-48058</v>
      </c>
      <c r="S2" s="25">
        <f t="shared" ref="S2:S44" si="2">R2/E2*100</f>
        <v>-24.059073842302876</v>
      </c>
    </row>
    <row r="3" spans="1:28" ht="15.75" customHeight="1">
      <c r="A3" s="4">
        <v>2</v>
      </c>
      <c r="B3" s="5"/>
      <c r="C3" s="5" t="s">
        <v>20</v>
      </c>
      <c r="D3" s="6">
        <v>2200</v>
      </c>
      <c r="E3" s="7">
        <f t="shared" si="0"/>
        <v>187000</v>
      </c>
      <c r="F3" s="8">
        <v>51800</v>
      </c>
      <c r="G3" s="8">
        <v>14890</v>
      </c>
      <c r="H3" s="8">
        <v>6953</v>
      </c>
      <c r="I3" s="8">
        <v>35467</v>
      </c>
      <c r="J3" s="8">
        <v>6567</v>
      </c>
      <c r="K3" s="7">
        <v>16707</v>
      </c>
      <c r="L3" s="8">
        <v>3690</v>
      </c>
      <c r="M3" s="8">
        <v>24380</v>
      </c>
      <c r="N3" s="8">
        <v>4760</v>
      </c>
      <c r="O3" s="8">
        <v>3093</v>
      </c>
      <c r="P3" s="8">
        <v>2962</v>
      </c>
      <c r="Q3" s="8">
        <v>1538</v>
      </c>
      <c r="R3" s="7">
        <f t="shared" si="1"/>
        <v>14193</v>
      </c>
      <c r="S3" s="25">
        <f t="shared" si="2"/>
        <v>7.5898395721925134</v>
      </c>
    </row>
    <row r="4" spans="1:28" ht="15.75" customHeight="1">
      <c r="A4" s="4">
        <v>3</v>
      </c>
      <c r="B4" s="5" t="s">
        <v>21</v>
      </c>
      <c r="C4" s="5" t="s">
        <v>22</v>
      </c>
      <c r="D4" s="6">
        <v>2000</v>
      </c>
      <c r="E4" s="7">
        <f t="shared" si="0"/>
        <v>170000</v>
      </c>
      <c r="F4" s="8">
        <v>55520</v>
      </c>
      <c r="G4" s="8">
        <v>14890</v>
      </c>
      <c r="H4" s="8">
        <v>6953</v>
      </c>
      <c r="I4" s="8">
        <v>35467</v>
      </c>
      <c r="J4" s="8">
        <v>6567</v>
      </c>
      <c r="K4" s="7">
        <v>16707</v>
      </c>
      <c r="L4" s="8">
        <v>3690</v>
      </c>
      <c r="M4" s="8">
        <v>24380</v>
      </c>
      <c r="N4" s="8">
        <v>4760</v>
      </c>
      <c r="O4" s="8">
        <v>3093</v>
      </c>
      <c r="P4" s="8">
        <v>2962</v>
      </c>
      <c r="Q4" s="8">
        <v>1538</v>
      </c>
      <c r="R4" s="7">
        <f t="shared" si="1"/>
        <v>-6527</v>
      </c>
      <c r="S4" s="25">
        <f t="shared" si="2"/>
        <v>-3.8394117647058823</v>
      </c>
    </row>
    <row r="5" spans="1:28" ht="15.75" customHeight="1">
      <c r="A5" s="4">
        <v>4</v>
      </c>
      <c r="B5" s="5"/>
      <c r="C5" s="5" t="s">
        <v>23</v>
      </c>
      <c r="D5" s="6">
        <v>1800</v>
      </c>
      <c r="E5" s="7">
        <f t="shared" si="0"/>
        <v>153000</v>
      </c>
      <c r="F5" s="8">
        <v>35800</v>
      </c>
      <c r="G5" s="8">
        <v>14890</v>
      </c>
      <c r="H5" s="8">
        <v>6953</v>
      </c>
      <c r="I5" s="8">
        <v>35467</v>
      </c>
      <c r="J5" s="8">
        <v>6567</v>
      </c>
      <c r="K5" s="7">
        <v>16707</v>
      </c>
      <c r="L5" s="8">
        <v>3690</v>
      </c>
      <c r="M5" s="8">
        <v>24380</v>
      </c>
      <c r="N5" s="8">
        <v>4760</v>
      </c>
      <c r="O5" s="8">
        <v>3093</v>
      </c>
      <c r="P5" s="8">
        <v>2962</v>
      </c>
      <c r="Q5" s="8">
        <v>1538</v>
      </c>
      <c r="R5" s="7">
        <f t="shared" si="1"/>
        <v>-3807</v>
      </c>
      <c r="S5" s="25">
        <f t="shared" si="2"/>
        <v>-2.4882352941176471</v>
      </c>
    </row>
    <row r="6" spans="1:28" ht="15.75" customHeight="1">
      <c r="A6" s="4">
        <v>5</v>
      </c>
      <c r="B6" s="5"/>
      <c r="C6" s="5" t="s">
        <v>24</v>
      </c>
      <c r="D6" s="6">
        <v>1800</v>
      </c>
      <c r="E6" s="7">
        <f t="shared" si="0"/>
        <v>153000</v>
      </c>
      <c r="F6" s="8">
        <v>53800</v>
      </c>
      <c r="G6" s="8">
        <v>14890</v>
      </c>
      <c r="H6" s="8">
        <v>6953</v>
      </c>
      <c r="I6" s="8">
        <v>35467</v>
      </c>
      <c r="J6" s="8">
        <v>6567</v>
      </c>
      <c r="K6" s="7">
        <v>16707</v>
      </c>
      <c r="L6" s="8">
        <v>3690</v>
      </c>
      <c r="M6" s="8">
        <v>24380</v>
      </c>
      <c r="N6" s="8">
        <v>4760</v>
      </c>
      <c r="O6" s="8">
        <v>3093</v>
      </c>
      <c r="P6" s="8">
        <v>2962</v>
      </c>
      <c r="Q6" s="8">
        <v>1538</v>
      </c>
      <c r="R6" s="7">
        <f t="shared" si="1"/>
        <v>-21807</v>
      </c>
      <c r="S6" s="25">
        <f t="shared" si="2"/>
        <v>-14.252941176470587</v>
      </c>
    </row>
    <row r="7" spans="1:28" ht="15.75" customHeight="1">
      <c r="A7" s="4">
        <v>6</v>
      </c>
      <c r="B7" s="5"/>
      <c r="C7" s="26" t="s">
        <v>84</v>
      </c>
      <c r="D7" s="6">
        <v>1800</v>
      </c>
      <c r="E7" s="7">
        <f t="shared" si="0"/>
        <v>153000</v>
      </c>
      <c r="F7" s="8">
        <v>73800</v>
      </c>
      <c r="G7" s="8">
        <v>14890</v>
      </c>
      <c r="H7" s="8">
        <v>6953</v>
      </c>
      <c r="I7" s="8">
        <v>35467</v>
      </c>
      <c r="J7" s="8">
        <v>6567</v>
      </c>
      <c r="K7" s="7">
        <v>16707</v>
      </c>
      <c r="L7" s="8">
        <v>3690</v>
      </c>
      <c r="M7" s="8">
        <v>24380</v>
      </c>
      <c r="N7" s="8">
        <v>4760</v>
      </c>
      <c r="O7" s="8">
        <v>3093</v>
      </c>
      <c r="P7" s="8">
        <v>2962</v>
      </c>
      <c r="Q7" s="8">
        <v>1538</v>
      </c>
      <c r="R7" s="7">
        <f t="shared" si="1"/>
        <v>-41807</v>
      </c>
      <c r="S7" s="25">
        <f t="shared" si="2"/>
        <v>-27.32483660130719</v>
      </c>
    </row>
    <row r="8" spans="1:28" ht="15.75" customHeight="1">
      <c r="A8" s="4">
        <v>7</v>
      </c>
      <c r="B8" s="5" t="s">
        <v>27</v>
      </c>
      <c r="C8" s="5" t="s">
        <v>28</v>
      </c>
      <c r="D8" s="6">
        <v>2275</v>
      </c>
      <c r="E8" s="7">
        <f t="shared" si="0"/>
        <v>193375</v>
      </c>
      <c r="F8" s="10">
        <v>107000</v>
      </c>
      <c r="G8" s="8">
        <v>14890</v>
      </c>
      <c r="H8" s="8">
        <v>6953</v>
      </c>
      <c r="I8" s="8">
        <v>35467</v>
      </c>
      <c r="J8" s="8">
        <v>6567</v>
      </c>
      <c r="K8" s="7">
        <v>16707</v>
      </c>
      <c r="L8" s="8">
        <v>3690</v>
      </c>
      <c r="M8" s="8">
        <v>24380</v>
      </c>
      <c r="N8" s="8">
        <v>4760</v>
      </c>
      <c r="O8" s="8">
        <v>3093</v>
      </c>
      <c r="P8" s="8">
        <v>2962</v>
      </c>
      <c r="Q8" s="8">
        <v>1538</v>
      </c>
      <c r="R8" s="7">
        <f t="shared" si="1"/>
        <v>-34632</v>
      </c>
      <c r="S8" s="25">
        <f t="shared" si="2"/>
        <v>-17.909243697478992</v>
      </c>
    </row>
    <row r="9" spans="1:28" ht="15.75" customHeight="1">
      <c r="A9" s="4">
        <v>8</v>
      </c>
      <c r="B9" s="5"/>
      <c r="C9" s="26" t="s">
        <v>92</v>
      </c>
      <c r="D9" s="6">
        <v>2000</v>
      </c>
      <c r="E9" s="7">
        <f t="shared" si="0"/>
        <v>170000</v>
      </c>
      <c r="F9" s="8">
        <v>68800</v>
      </c>
      <c r="G9" s="8">
        <v>14890</v>
      </c>
      <c r="H9" s="8">
        <v>6953</v>
      </c>
      <c r="I9" s="8">
        <v>35467</v>
      </c>
      <c r="J9" s="8">
        <v>6567</v>
      </c>
      <c r="K9" s="7">
        <v>16707</v>
      </c>
      <c r="L9" s="8">
        <v>3690</v>
      </c>
      <c r="M9" s="8">
        <v>24380</v>
      </c>
      <c r="N9" s="8">
        <v>4760</v>
      </c>
      <c r="O9" s="8">
        <v>3093</v>
      </c>
      <c r="P9" s="8">
        <v>2962</v>
      </c>
      <c r="Q9" s="8">
        <v>1538</v>
      </c>
      <c r="R9" s="7">
        <f t="shared" si="1"/>
        <v>-19807</v>
      </c>
      <c r="S9" s="25">
        <f t="shared" si="2"/>
        <v>-11.651176470588236</v>
      </c>
    </row>
    <row r="10" spans="1:28" ht="15.75" customHeight="1">
      <c r="A10" s="4">
        <v>9</v>
      </c>
      <c r="B10" s="5"/>
      <c r="C10" s="5" t="s">
        <v>109</v>
      </c>
      <c r="D10" s="6">
        <v>2000</v>
      </c>
      <c r="E10" s="7">
        <f t="shared" si="0"/>
        <v>170000</v>
      </c>
      <c r="F10" s="8">
        <v>44800</v>
      </c>
      <c r="G10" s="8">
        <v>14890</v>
      </c>
      <c r="H10" s="8">
        <v>6953</v>
      </c>
      <c r="I10" s="8">
        <v>35467</v>
      </c>
      <c r="J10" s="8">
        <v>6567</v>
      </c>
      <c r="K10" s="7">
        <v>16707</v>
      </c>
      <c r="L10" s="8">
        <v>3690</v>
      </c>
      <c r="M10" s="8">
        <v>24380</v>
      </c>
      <c r="N10" s="8">
        <v>4760</v>
      </c>
      <c r="O10" s="8">
        <v>3093</v>
      </c>
      <c r="P10" s="8">
        <v>2962</v>
      </c>
      <c r="Q10" s="8">
        <v>1538</v>
      </c>
      <c r="R10" s="7">
        <f t="shared" si="1"/>
        <v>4193</v>
      </c>
      <c r="S10" s="25">
        <f t="shared" si="2"/>
        <v>2.4664705882352944</v>
      </c>
    </row>
    <row r="11" spans="1:28" ht="15.75" customHeight="1">
      <c r="A11" s="4">
        <v>10</v>
      </c>
      <c r="B11" s="5" t="s">
        <v>30</v>
      </c>
      <c r="C11" s="27" t="s">
        <v>31</v>
      </c>
      <c r="D11" s="6"/>
      <c r="E11" s="7"/>
      <c r="F11" s="8">
        <v>41567</v>
      </c>
      <c r="G11" s="8">
        <v>14890</v>
      </c>
      <c r="H11" s="8">
        <v>6953</v>
      </c>
      <c r="I11" s="8">
        <v>35467</v>
      </c>
      <c r="J11" s="8">
        <v>6567</v>
      </c>
      <c r="K11" s="7">
        <v>16707</v>
      </c>
      <c r="L11" s="8">
        <v>3690</v>
      </c>
      <c r="M11" s="8">
        <v>24380</v>
      </c>
      <c r="N11" s="8">
        <v>4760</v>
      </c>
      <c r="O11" s="8">
        <v>3093</v>
      </c>
      <c r="P11" s="8">
        <v>2962</v>
      </c>
      <c r="Q11" s="8">
        <v>1538</v>
      </c>
      <c r="R11" s="7">
        <f t="shared" si="1"/>
        <v>-162574</v>
      </c>
      <c r="S11" s="25" t="e">
        <f t="shared" si="2"/>
        <v>#DIV/0!</v>
      </c>
    </row>
    <row r="12" spans="1:28" ht="15.75" customHeight="1">
      <c r="A12" s="4">
        <v>11</v>
      </c>
      <c r="B12" s="5"/>
      <c r="C12" s="27" t="s">
        <v>32</v>
      </c>
      <c r="D12" s="6"/>
      <c r="E12" s="7"/>
      <c r="F12" s="8">
        <v>36442</v>
      </c>
      <c r="G12" s="8">
        <v>14890</v>
      </c>
      <c r="H12" s="8">
        <v>6953</v>
      </c>
      <c r="I12" s="8">
        <v>35467</v>
      </c>
      <c r="J12" s="8">
        <v>6567</v>
      </c>
      <c r="K12" s="7">
        <v>16707</v>
      </c>
      <c r="L12" s="8">
        <v>3690</v>
      </c>
      <c r="M12" s="8">
        <v>24380</v>
      </c>
      <c r="N12" s="8">
        <v>4760</v>
      </c>
      <c r="O12" s="8">
        <v>3093</v>
      </c>
      <c r="P12" s="8">
        <v>2962</v>
      </c>
      <c r="Q12" s="8">
        <v>1538</v>
      </c>
      <c r="R12" s="7">
        <f t="shared" si="1"/>
        <v>-157449</v>
      </c>
      <c r="S12" s="25" t="e">
        <f t="shared" si="2"/>
        <v>#DIV/0!</v>
      </c>
    </row>
    <row r="13" spans="1:28" ht="15.75" customHeight="1">
      <c r="A13" s="4">
        <v>12</v>
      </c>
      <c r="B13" s="5"/>
      <c r="C13" s="28" t="s">
        <v>33</v>
      </c>
      <c r="D13" s="6"/>
      <c r="E13" s="6"/>
      <c r="F13" s="8">
        <v>44600</v>
      </c>
      <c r="G13" s="8">
        <v>14890</v>
      </c>
      <c r="H13" s="8">
        <v>6953</v>
      </c>
      <c r="I13" s="8">
        <v>35467</v>
      </c>
      <c r="J13" s="8">
        <v>6567</v>
      </c>
      <c r="K13" s="7">
        <v>16707</v>
      </c>
      <c r="L13" s="8">
        <v>3690</v>
      </c>
      <c r="M13" s="8">
        <v>24380</v>
      </c>
      <c r="N13" s="8">
        <v>4760</v>
      </c>
      <c r="O13" s="8">
        <v>3093</v>
      </c>
      <c r="P13" s="8">
        <v>2962</v>
      </c>
      <c r="Q13" s="8">
        <v>1538</v>
      </c>
      <c r="R13" s="7">
        <f t="shared" si="1"/>
        <v>-165607</v>
      </c>
      <c r="S13" s="25" t="e">
        <f t="shared" si="2"/>
        <v>#DIV/0!</v>
      </c>
    </row>
    <row r="14" spans="1:28" ht="15.75" customHeight="1">
      <c r="A14" s="4">
        <v>13</v>
      </c>
      <c r="B14" s="5" t="s">
        <v>34</v>
      </c>
      <c r="C14" s="5" t="s">
        <v>35</v>
      </c>
      <c r="D14" s="6">
        <v>2200</v>
      </c>
      <c r="E14" s="7">
        <f t="shared" ref="E14:E43" si="3">D14*85</f>
        <v>187000</v>
      </c>
      <c r="F14" s="10">
        <v>91887</v>
      </c>
      <c r="G14" s="8">
        <v>14890</v>
      </c>
      <c r="H14" s="8">
        <v>6953</v>
      </c>
      <c r="I14" s="8">
        <v>35467</v>
      </c>
      <c r="J14" s="8">
        <v>6567</v>
      </c>
      <c r="K14" s="7">
        <v>16707</v>
      </c>
      <c r="L14" s="8">
        <v>3690</v>
      </c>
      <c r="M14" s="8">
        <v>24380</v>
      </c>
      <c r="N14" s="8">
        <v>4760</v>
      </c>
      <c r="O14" s="8">
        <v>3093</v>
      </c>
      <c r="P14" s="8">
        <v>2962</v>
      </c>
      <c r="Q14" s="8">
        <v>1538</v>
      </c>
      <c r="R14" s="7">
        <f t="shared" si="1"/>
        <v>-25894</v>
      </c>
      <c r="S14" s="25">
        <f t="shared" si="2"/>
        <v>-13.847058823529412</v>
      </c>
    </row>
    <row r="15" spans="1:28" ht="15.75" customHeight="1">
      <c r="A15" s="4">
        <v>14</v>
      </c>
      <c r="B15" s="5"/>
      <c r="C15" s="5" t="s">
        <v>36</v>
      </c>
      <c r="D15" s="6">
        <v>2000</v>
      </c>
      <c r="E15" s="7">
        <f t="shared" si="3"/>
        <v>170000</v>
      </c>
      <c r="F15" s="8">
        <v>46584</v>
      </c>
      <c r="G15" s="8">
        <v>14890</v>
      </c>
      <c r="H15" s="8">
        <v>6953</v>
      </c>
      <c r="I15" s="8">
        <v>35467</v>
      </c>
      <c r="J15" s="8">
        <v>6567</v>
      </c>
      <c r="K15" s="7">
        <v>16707</v>
      </c>
      <c r="L15" s="8">
        <v>3690</v>
      </c>
      <c r="M15" s="8">
        <v>24380</v>
      </c>
      <c r="N15" s="8">
        <v>4760</v>
      </c>
      <c r="O15" s="8">
        <v>3093</v>
      </c>
      <c r="P15" s="8">
        <v>2962</v>
      </c>
      <c r="Q15" s="8">
        <v>1538</v>
      </c>
      <c r="R15" s="7">
        <f t="shared" si="1"/>
        <v>2409</v>
      </c>
      <c r="S15" s="25">
        <f t="shared" si="2"/>
        <v>1.4170588235294117</v>
      </c>
    </row>
    <row r="16" spans="1:28" ht="15.75" customHeight="1">
      <c r="A16" s="4">
        <v>15</v>
      </c>
      <c r="B16" s="5"/>
      <c r="C16" s="5" t="s">
        <v>37</v>
      </c>
      <c r="D16" s="6">
        <v>2300</v>
      </c>
      <c r="E16" s="7">
        <f t="shared" si="3"/>
        <v>195500</v>
      </c>
      <c r="F16" s="8">
        <v>89115</v>
      </c>
      <c r="G16" s="8">
        <v>14890</v>
      </c>
      <c r="H16" s="8">
        <v>6953</v>
      </c>
      <c r="I16" s="8">
        <v>35467</v>
      </c>
      <c r="J16" s="8">
        <v>6567</v>
      </c>
      <c r="K16" s="7">
        <v>16707</v>
      </c>
      <c r="L16" s="8">
        <v>3690</v>
      </c>
      <c r="M16" s="8">
        <v>24380</v>
      </c>
      <c r="N16" s="8">
        <v>4760</v>
      </c>
      <c r="O16" s="8">
        <v>3093</v>
      </c>
      <c r="P16" s="8">
        <v>2962</v>
      </c>
      <c r="Q16" s="8">
        <v>1538</v>
      </c>
      <c r="R16" s="7">
        <f t="shared" si="1"/>
        <v>-14622</v>
      </c>
      <c r="S16" s="25">
        <f t="shared" si="2"/>
        <v>-7.4792838874680303</v>
      </c>
    </row>
    <row r="17" spans="1:19" ht="15.75" customHeight="1">
      <c r="A17" s="4">
        <v>16</v>
      </c>
      <c r="B17" s="5"/>
      <c r="C17" s="5" t="s">
        <v>38</v>
      </c>
      <c r="D17" s="6">
        <v>2000</v>
      </c>
      <c r="E17" s="7">
        <f t="shared" si="3"/>
        <v>170000</v>
      </c>
      <c r="F17" s="8">
        <v>63122</v>
      </c>
      <c r="G17" s="8">
        <v>14890</v>
      </c>
      <c r="H17" s="8">
        <v>6953</v>
      </c>
      <c r="I17" s="8">
        <v>35467</v>
      </c>
      <c r="J17" s="8">
        <v>6567</v>
      </c>
      <c r="K17" s="7">
        <v>16707</v>
      </c>
      <c r="L17" s="8">
        <v>3690</v>
      </c>
      <c r="M17" s="8">
        <v>24380</v>
      </c>
      <c r="N17" s="8">
        <v>4760</v>
      </c>
      <c r="O17" s="8">
        <v>3093</v>
      </c>
      <c r="P17" s="8">
        <v>2962</v>
      </c>
      <c r="Q17" s="8">
        <v>1538</v>
      </c>
      <c r="R17" s="7">
        <f t="shared" si="1"/>
        <v>-14129</v>
      </c>
      <c r="S17" s="25">
        <f t="shared" si="2"/>
        <v>-8.3111764705882365</v>
      </c>
    </row>
    <row r="18" spans="1:19" ht="15.75" customHeight="1">
      <c r="A18" s="4">
        <v>17</v>
      </c>
      <c r="B18" s="5"/>
      <c r="C18" s="5" t="s">
        <v>39</v>
      </c>
      <c r="D18" s="6">
        <v>2000</v>
      </c>
      <c r="E18" s="7">
        <f t="shared" si="3"/>
        <v>170000</v>
      </c>
      <c r="F18" s="8">
        <v>42000</v>
      </c>
      <c r="G18" s="8">
        <v>14890</v>
      </c>
      <c r="H18" s="8">
        <v>6953</v>
      </c>
      <c r="I18" s="8">
        <v>35467</v>
      </c>
      <c r="J18" s="8">
        <v>6567</v>
      </c>
      <c r="K18" s="7">
        <v>16707</v>
      </c>
      <c r="L18" s="8">
        <v>3690</v>
      </c>
      <c r="M18" s="8">
        <v>24380</v>
      </c>
      <c r="N18" s="8">
        <v>4760</v>
      </c>
      <c r="O18" s="8">
        <v>3093</v>
      </c>
      <c r="P18" s="8">
        <v>2962</v>
      </c>
      <c r="Q18" s="8">
        <v>1538</v>
      </c>
      <c r="R18" s="7">
        <f t="shared" si="1"/>
        <v>6993</v>
      </c>
      <c r="S18" s="25">
        <f t="shared" si="2"/>
        <v>4.1135294117647065</v>
      </c>
    </row>
    <row r="19" spans="1:19" ht="15.75" customHeight="1">
      <c r="A19" s="4">
        <v>18</v>
      </c>
      <c r="B19" s="5"/>
      <c r="C19" s="5" t="s">
        <v>40</v>
      </c>
      <c r="D19" s="6">
        <v>1800</v>
      </c>
      <c r="E19" s="7">
        <f t="shared" si="3"/>
        <v>153000</v>
      </c>
      <c r="F19" s="8">
        <v>39168</v>
      </c>
      <c r="G19" s="8">
        <v>14890</v>
      </c>
      <c r="H19" s="8">
        <v>6953</v>
      </c>
      <c r="I19" s="8">
        <v>35467</v>
      </c>
      <c r="J19" s="8">
        <v>6567</v>
      </c>
      <c r="K19" s="7">
        <v>16707</v>
      </c>
      <c r="L19" s="8">
        <v>3690</v>
      </c>
      <c r="M19" s="8">
        <v>24380</v>
      </c>
      <c r="N19" s="8">
        <v>4760</v>
      </c>
      <c r="O19" s="8">
        <v>3093</v>
      </c>
      <c r="P19" s="8">
        <v>2962</v>
      </c>
      <c r="Q19" s="8">
        <v>1538</v>
      </c>
      <c r="R19" s="7">
        <f t="shared" si="1"/>
        <v>-7175</v>
      </c>
      <c r="S19" s="25">
        <f t="shared" si="2"/>
        <v>-4.6895424836601309</v>
      </c>
    </row>
    <row r="20" spans="1:19" ht="15.75" customHeight="1">
      <c r="A20" s="4">
        <v>19</v>
      </c>
      <c r="B20" s="5"/>
      <c r="C20" s="5" t="s">
        <v>41</v>
      </c>
      <c r="D20" s="6">
        <v>2000</v>
      </c>
      <c r="E20" s="7">
        <f t="shared" si="3"/>
        <v>170000</v>
      </c>
      <c r="F20" s="8">
        <v>37000</v>
      </c>
      <c r="G20" s="8">
        <v>14890</v>
      </c>
      <c r="H20" s="8">
        <v>6953</v>
      </c>
      <c r="I20" s="8">
        <v>35467</v>
      </c>
      <c r="J20" s="8">
        <v>6567</v>
      </c>
      <c r="K20" s="7">
        <v>16707</v>
      </c>
      <c r="L20" s="8">
        <v>3690</v>
      </c>
      <c r="M20" s="8">
        <v>24380</v>
      </c>
      <c r="N20" s="8">
        <v>4760</v>
      </c>
      <c r="O20" s="8">
        <v>3093</v>
      </c>
      <c r="P20" s="8">
        <v>2962</v>
      </c>
      <c r="Q20" s="8">
        <v>1538</v>
      </c>
      <c r="R20" s="7">
        <f t="shared" si="1"/>
        <v>11993</v>
      </c>
      <c r="S20" s="25">
        <f t="shared" si="2"/>
        <v>7.0547058823529412</v>
      </c>
    </row>
    <row r="21" spans="1:19" ht="15.75" customHeight="1">
      <c r="A21" s="4">
        <v>20</v>
      </c>
      <c r="B21" s="5"/>
      <c r="C21" s="5" t="s">
        <v>42</v>
      </c>
      <c r="D21" s="6">
        <v>2000</v>
      </c>
      <c r="E21" s="7">
        <f t="shared" si="3"/>
        <v>170000</v>
      </c>
      <c r="F21" s="8">
        <v>48800</v>
      </c>
      <c r="G21" s="8">
        <v>14890</v>
      </c>
      <c r="H21" s="8">
        <v>6953</v>
      </c>
      <c r="I21" s="8">
        <v>35467</v>
      </c>
      <c r="J21" s="8">
        <v>6567</v>
      </c>
      <c r="K21" s="7">
        <v>16707</v>
      </c>
      <c r="L21" s="8">
        <v>3690</v>
      </c>
      <c r="M21" s="8">
        <v>24380</v>
      </c>
      <c r="N21" s="8">
        <v>4760</v>
      </c>
      <c r="O21" s="8">
        <v>3093</v>
      </c>
      <c r="P21" s="8">
        <v>2962</v>
      </c>
      <c r="Q21" s="8">
        <v>1538</v>
      </c>
      <c r="R21" s="7">
        <f t="shared" si="1"/>
        <v>193</v>
      </c>
      <c r="S21" s="25">
        <f t="shared" si="2"/>
        <v>0.11352941176470588</v>
      </c>
    </row>
    <row r="22" spans="1:19" ht="15.75" customHeight="1">
      <c r="A22" s="4">
        <v>21</v>
      </c>
      <c r="B22" s="5"/>
      <c r="C22" s="5" t="s">
        <v>43</v>
      </c>
      <c r="D22" s="6">
        <v>2000</v>
      </c>
      <c r="E22" s="7">
        <f t="shared" si="3"/>
        <v>170000</v>
      </c>
      <c r="F22" s="8">
        <v>41768</v>
      </c>
      <c r="G22" s="8">
        <v>14890</v>
      </c>
      <c r="H22" s="8">
        <v>6953</v>
      </c>
      <c r="I22" s="8">
        <v>35467</v>
      </c>
      <c r="J22" s="8">
        <v>6567</v>
      </c>
      <c r="K22" s="7">
        <v>16707</v>
      </c>
      <c r="L22" s="8">
        <v>3690</v>
      </c>
      <c r="M22" s="8">
        <v>24380</v>
      </c>
      <c r="N22" s="8">
        <v>4760</v>
      </c>
      <c r="O22" s="8">
        <v>3093</v>
      </c>
      <c r="P22" s="8">
        <v>2962</v>
      </c>
      <c r="Q22" s="8">
        <v>1538</v>
      </c>
      <c r="R22" s="7">
        <f t="shared" si="1"/>
        <v>7225</v>
      </c>
      <c r="S22" s="25">
        <f t="shared" si="2"/>
        <v>4.25</v>
      </c>
    </row>
    <row r="23" spans="1:19" ht="15.75" customHeight="1">
      <c r="A23" s="4">
        <v>22</v>
      </c>
      <c r="B23" s="5"/>
      <c r="C23" s="5" t="s">
        <v>44</v>
      </c>
      <c r="D23" s="6">
        <v>1600</v>
      </c>
      <c r="E23" s="7">
        <f t="shared" si="3"/>
        <v>136000</v>
      </c>
      <c r="F23" s="8">
        <v>49840</v>
      </c>
      <c r="G23" s="8">
        <v>14890</v>
      </c>
      <c r="H23" s="8">
        <v>6953</v>
      </c>
      <c r="I23" s="8">
        <v>35467</v>
      </c>
      <c r="J23" s="8">
        <v>6567</v>
      </c>
      <c r="K23" s="7">
        <v>16707</v>
      </c>
      <c r="L23" s="8">
        <v>3690</v>
      </c>
      <c r="M23" s="8">
        <v>24380</v>
      </c>
      <c r="N23" s="8">
        <v>4760</v>
      </c>
      <c r="O23" s="8">
        <v>3093</v>
      </c>
      <c r="P23" s="8">
        <v>2962</v>
      </c>
      <c r="Q23" s="8">
        <v>1538</v>
      </c>
      <c r="R23" s="7">
        <f t="shared" si="1"/>
        <v>-34847</v>
      </c>
      <c r="S23" s="25">
        <f t="shared" si="2"/>
        <v>-25.622794117647057</v>
      </c>
    </row>
    <row r="24" spans="1:19" ht="15.75" customHeight="1">
      <c r="A24" s="4">
        <v>23</v>
      </c>
      <c r="B24" s="5" t="s">
        <v>46</v>
      </c>
      <c r="C24" s="5" t="s">
        <v>47</v>
      </c>
      <c r="D24" s="6">
        <v>2200</v>
      </c>
      <c r="E24" s="7">
        <f t="shared" si="3"/>
        <v>187000</v>
      </c>
      <c r="F24" s="8">
        <v>67327</v>
      </c>
      <c r="G24" s="8">
        <v>14890</v>
      </c>
      <c r="H24" s="8">
        <v>6953</v>
      </c>
      <c r="I24" s="8">
        <v>35467</v>
      </c>
      <c r="J24" s="8">
        <v>6567</v>
      </c>
      <c r="K24" s="7">
        <v>16707</v>
      </c>
      <c r="L24" s="8">
        <v>3690</v>
      </c>
      <c r="M24" s="8">
        <v>24380</v>
      </c>
      <c r="N24" s="8">
        <v>4760</v>
      </c>
      <c r="O24" s="8">
        <v>3093</v>
      </c>
      <c r="P24" s="8">
        <v>2962</v>
      </c>
      <c r="Q24" s="8">
        <v>1538</v>
      </c>
      <c r="R24" s="7">
        <f t="shared" si="1"/>
        <v>-1334</v>
      </c>
      <c r="S24" s="25">
        <f t="shared" si="2"/>
        <v>-0.71336898395721926</v>
      </c>
    </row>
    <row r="25" spans="1:19" ht="15.75" customHeight="1">
      <c r="A25" s="4">
        <v>24</v>
      </c>
      <c r="B25" s="5"/>
      <c r="C25" s="5" t="s">
        <v>48</v>
      </c>
      <c r="D25" s="6">
        <v>2300</v>
      </c>
      <c r="E25" s="7">
        <f t="shared" si="3"/>
        <v>195500</v>
      </c>
      <c r="F25" s="10">
        <v>70000</v>
      </c>
      <c r="G25" s="8">
        <v>14890</v>
      </c>
      <c r="H25" s="8">
        <v>6953</v>
      </c>
      <c r="I25" s="8">
        <v>35467</v>
      </c>
      <c r="J25" s="8">
        <v>6567</v>
      </c>
      <c r="K25" s="7">
        <v>16707</v>
      </c>
      <c r="L25" s="8">
        <v>3690</v>
      </c>
      <c r="M25" s="8">
        <v>24380</v>
      </c>
      <c r="N25" s="8">
        <v>4760</v>
      </c>
      <c r="O25" s="8">
        <v>3093</v>
      </c>
      <c r="P25" s="8">
        <v>2962</v>
      </c>
      <c r="Q25" s="8">
        <v>1538</v>
      </c>
      <c r="R25" s="7">
        <f t="shared" si="1"/>
        <v>4493</v>
      </c>
      <c r="S25" s="25">
        <f t="shared" si="2"/>
        <v>2.2982097186700767</v>
      </c>
    </row>
    <row r="26" spans="1:19" ht="15.75" customHeight="1">
      <c r="A26" s="4">
        <v>25</v>
      </c>
      <c r="B26" s="5"/>
      <c r="C26" s="5" t="s">
        <v>49</v>
      </c>
      <c r="D26" s="6">
        <v>2100</v>
      </c>
      <c r="E26" s="7">
        <f t="shared" si="3"/>
        <v>178500</v>
      </c>
      <c r="F26" s="8">
        <v>46304</v>
      </c>
      <c r="G26" s="8">
        <v>14890</v>
      </c>
      <c r="H26" s="8">
        <v>6953</v>
      </c>
      <c r="I26" s="8">
        <v>35467</v>
      </c>
      <c r="J26" s="8">
        <v>6567</v>
      </c>
      <c r="K26" s="7">
        <v>16707</v>
      </c>
      <c r="L26" s="8">
        <v>3690</v>
      </c>
      <c r="M26" s="8">
        <v>24380</v>
      </c>
      <c r="N26" s="8">
        <v>4760</v>
      </c>
      <c r="O26" s="8">
        <v>3093</v>
      </c>
      <c r="P26" s="8">
        <v>2962</v>
      </c>
      <c r="Q26" s="8">
        <v>1538</v>
      </c>
      <c r="R26" s="7">
        <f t="shared" si="1"/>
        <v>11189</v>
      </c>
      <c r="S26" s="25">
        <f t="shared" si="2"/>
        <v>6.2683473389355742</v>
      </c>
    </row>
    <row r="27" spans="1:19" ht="15.75" customHeight="1">
      <c r="A27" s="4">
        <v>26</v>
      </c>
      <c r="B27" s="5" t="s">
        <v>50</v>
      </c>
      <c r="C27" s="5" t="s">
        <v>51</v>
      </c>
      <c r="D27" s="6">
        <v>2000</v>
      </c>
      <c r="E27" s="7">
        <f t="shared" si="3"/>
        <v>170000</v>
      </c>
      <c r="F27" s="10">
        <v>81068</v>
      </c>
      <c r="G27" s="8">
        <v>14890</v>
      </c>
      <c r="H27" s="8">
        <v>6953</v>
      </c>
      <c r="I27" s="8">
        <v>35467</v>
      </c>
      <c r="J27" s="8">
        <v>6567</v>
      </c>
      <c r="K27" s="7">
        <v>16707</v>
      </c>
      <c r="L27" s="8">
        <v>3690</v>
      </c>
      <c r="M27" s="8">
        <v>24380</v>
      </c>
      <c r="N27" s="8">
        <v>4760</v>
      </c>
      <c r="O27" s="8">
        <v>3093</v>
      </c>
      <c r="P27" s="8">
        <v>2962</v>
      </c>
      <c r="Q27" s="8">
        <v>1538</v>
      </c>
      <c r="R27" s="7">
        <f t="shared" si="1"/>
        <v>-32075</v>
      </c>
      <c r="S27" s="25">
        <f t="shared" si="2"/>
        <v>-18.867647058823529</v>
      </c>
    </row>
    <row r="28" spans="1:19" ht="15.75" customHeight="1">
      <c r="A28" s="4">
        <v>27</v>
      </c>
      <c r="B28" s="5"/>
      <c r="C28" s="5" t="s">
        <v>52</v>
      </c>
      <c r="D28" s="6">
        <v>2000</v>
      </c>
      <c r="E28" s="7">
        <f t="shared" si="3"/>
        <v>170000</v>
      </c>
      <c r="F28" s="10">
        <v>81800</v>
      </c>
      <c r="G28" s="8">
        <v>14890</v>
      </c>
      <c r="H28" s="8">
        <v>6953</v>
      </c>
      <c r="I28" s="8">
        <v>35467</v>
      </c>
      <c r="J28" s="8">
        <v>6567</v>
      </c>
      <c r="K28" s="7">
        <v>16707</v>
      </c>
      <c r="L28" s="8">
        <v>3690</v>
      </c>
      <c r="M28" s="8">
        <v>24380</v>
      </c>
      <c r="N28" s="8">
        <v>4760</v>
      </c>
      <c r="O28" s="8">
        <v>3093</v>
      </c>
      <c r="P28" s="8">
        <v>2962</v>
      </c>
      <c r="Q28" s="8">
        <v>1538</v>
      </c>
      <c r="R28" s="7">
        <f t="shared" si="1"/>
        <v>-32807</v>
      </c>
      <c r="S28" s="25">
        <f t="shared" si="2"/>
        <v>-19.298235294117646</v>
      </c>
    </row>
    <row r="29" spans="1:19" ht="15.75" customHeight="1">
      <c r="A29" s="4">
        <v>28</v>
      </c>
      <c r="B29" s="5" t="s">
        <v>59</v>
      </c>
      <c r="C29" s="5" t="s">
        <v>60</v>
      </c>
      <c r="D29" s="6">
        <v>1800</v>
      </c>
      <c r="E29" s="7">
        <f t="shared" si="3"/>
        <v>153000</v>
      </c>
      <c r="F29" s="8">
        <v>63426</v>
      </c>
      <c r="G29" s="8">
        <v>14890</v>
      </c>
      <c r="H29" s="8">
        <v>6953</v>
      </c>
      <c r="I29" s="8">
        <v>35467</v>
      </c>
      <c r="J29" s="8">
        <v>6567</v>
      </c>
      <c r="K29" s="7">
        <v>16707</v>
      </c>
      <c r="L29" s="8">
        <v>3690</v>
      </c>
      <c r="M29" s="8">
        <v>24380</v>
      </c>
      <c r="N29" s="8">
        <v>4760</v>
      </c>
      <c r="O29" s="8">
        <v>3093</v>
      </c>
      <c r="P29" s="8">
        <v>2962</v>
      </c>
      <c r="Q29" s="8">
        <v>1538</v>
      </c>
      <c r="R29" s="7">
        <f t="shared" si="1"/>
        <v>-31433</v>
      </c>
      <c r="S29" s="25">
        <f t="shared" si="2"/>
        <v>-20.544444444444444</v>
      </c>
    </row>
    <row r="30" spans="1:19" ht="15.75" customHeight="1">
      <c r="A30" s="4">
        <v>29</v>
      </c>
      <c r="B30" s="5" t="s">
        <v>61</v>
      </c>
      <c r="C30" s="5" t="s">
        <v>62</v>
      </c>
      <c r="D30" s="6">
        <v>2000</v>
      </c>
      <c r="E30" s="7">
        <f t="shared" si="3"/>
        <v>170000</v>
      </c>
      <c r="F30" s="10">
        <v>87539</v>
      </c>
      <c r="G30" s="8">
        <v>14890</v>
      </c>
      <c r="H30" s="8">
        <v>6953</v>
      </c>
      <c r="I30" s="8">
        <v>35467</v>
      </c>
      <c r="J30" s="8">
        <v>6567</v>
      </c>
      <c r="K30" s="7">
        <v>16707</v>
      </c>
      <c r="L30" s="8">
        <v>3690</v>
      </c>
      <c r="M30" s="8">
        <v>24380</v>
      </c>
      <c r="N30" s="8">
        <v>4760</v>
      </c>
      <c r="O30" s="8">
        <v>3093</v>
      </c>
      <c r="P30" s="8">
        <v>2962</v>
      </c>
      <c r="Q30" s="8">
        <v>1538</v>
      </c>
      <c r="R30" s="7">
        <f t="shared" si="1"/>
        <v>-38546</v>
      </c>
      <c r="S30" s="25">
        <f t="shared" si="2"/>
        <v>-22.674117647058821</v>
      </c>
    </row>
    <row r="31" spans="1:19" ht="15.75" customHeight="1">
      <c r="A31" s="4">
        <v>30</v>
      </c>
      <c r="B31" s="5"/>
      <c r="C31" s="5" t="s">
        <v>63</v>
      </c>
      <c r="D31" s="6">
        <v>2000</v>
      </c>
      <c r="E31" s="7">
        <f t="shared" si="3"/>
        <v>170000</v>
      </c>
      <c r="F31" s="8">
        <v>51000</v>
      </c>
      <c r="G31" s="8">
        <v>14890</v>
      </c>
      <c r="H31" s="8">
        <v>6953</v>
      </c>
      <c r="I31" s="8">
        <v>35467</v>
      </c>
      <c r="J31" s="8">
        <v>6567</v>
      </c>
      <c r="K31" s="7">
        <v>16707</v>
      </c>
      <c r="L31" s="8">
        <v>3690</v>
      </c>
      <c r="M31" s="8">
        <v>24380</v>
      </c>
      <c r="N31" s="8">
        <v>4760</v>
      </c>
      <c r="O31" s="8">
        <v>3093</v>
      </c>
      <c r="P31" s="8">
        <v>2962</v>
      </c>
      <c r="Q31" s="8">
        <v>1538</v>
      </c>
      <c r="R31" s="7">
        <f t="shared" si="1"/>
        <v>-2007</v>
      </c>
      <c r="S31" s="25">
        <f t="shared" si="2"/>
        <v>-1.1805882352941177</v>
      </c>
    </row>
    <row r="32" spans="1:19" ht="15.75" customHeight="1">
      <c r="A32" s="4">
        <v>31</v>
      </c>
      <c r="B32" s="5"/>
      <c r="C32" s="5" t="s">
        <v>64</v>
      </c>
      <c r="D32" s="6">
        <v>2000</v>
      </c>
      <c r="E32" s="7">
        <f t="shared" si="3"/>
        <v>170000</v>
      </c>
      <c r="F32" s="10">
        <v>84870</v>
      </c>
      <c r="G32" s="8">
        <v>14890</v>
      </c>
      <c r="H32" s="8">
        <v>6953</v>
      </c>
      <c r="I32" s="8">
        <v>35467</v>
      </c>
      <c r="J32" s="8">
        <v>6567</v>
      </c>
      <c r="K32" s="7">
        <v>16707</v>
      </c>
      <c r="L32" s="8">
        <v>3690</v>
      </c>
      <c r="M32" s="8">
        <v>24380</v>
      </c>
      <c r="N32" s="8">
        <v>4760</v>
      </c>
      <c r="O32" s="8">
        <v>3093</v>
      </c>
      <c r="P32" s="8">
        <v>2962</v>
      </c>
      <c r="Q32" s="8">
        <v>1538</v>
      </c>
      <c r="R32" s="7">
        <f t="shared" si="1"/>
        <v>-35877</v>
      </c>
      <c r="S32" s="25">
        <f t="shared" si="2"/>
        <v>-21.104117647058825</v>
      </c>
    </row>
    <row r="33" spans="1:28" ht="15.75" customHeight="1">
      <c r="A33" s="4">
        <v>32</v>
      </c>
      <c r="B33" s="5"/>
      <c r="C33" s="5" t="s">
        <v>65</v>
      </c>
      <c r="D33" s="6">
        <v>2000</v>
      </c>
      <c r="E33" s="7">
        <f t="shared" si="3"/>
        <v>170000</v>
      </c>
      <c r="F33" s="8">
        <v>62600</v>
      </c>
      <c r="G33" s="8">
        <v>14890</v>
      </c>
      <c r="H33" s="8">
        <v>6953</v>
      </c>
      <c r="I33" s="8">
        <v>35467</v>
      </c>
      <c r="J33" s="8">
        <v>6567</v>
      </c>
      <c r="K33" s="7">
        <v>16707</v>
      </c>
      <c r="L33" s="8">
        <v>3690</v>
      </c>
      <c r="M33" s="8">
        <v>24380</v>
      </c>
      <c r="N33" s="8">
        <v>4760</v>
      </c>
      <c r="O33" s="8">
        <v>3093</v>
      </c>
      <c r="P33" s="8">
        <v>2962</v>
      </c>
      <c r="Q33" s="8">
        <v>1538</v>
      </c>
      <c r="R33" s="7">
        <f t="shared" si="1"/>
        <v>-13607</v>
      </c>
      <c r="S33" s="25">
        <f t="shared" si="2"/>
        <v>-8.0041176470588233</v>
      </c>
    </row>
    <row r="34" spans="1:28" ht="15.75" customHeight="1">
      <c r="A34" s="4">
        <v>33</v>
      </c>
      <c r="B34" s="5"/>
      <c r="C34" s="5" t="s">
        <v>67</v>
      </c>
      <c r="D34" s="6">
        <v>2000</v>
      </c>
      <c r="E34" s="7">
        <f t="shared" si="3"/>
        <v>170000</v>
      </c>
      <c r="F34" s="8">
        <v>54000</v>
      </c>
      <c r="G34" s="8">
        <v>14890</v>
      </c>
      <c r="H34" s="8">
        <v>6953</v>
      </c>
      <c r="I34" s="8">
        <v>35467</v>
      </c>
      <c r="J34" s="8">
        <v>6567</v>
      </c>
      <c r="K34" s="7">
        <v>16707</v>
      </c>
      <c r="L34" s="8">
        <v>3690</v>
      </c>
      <c r="M34" s="8">
        <v>24380</v>
      </c>
      <c r="N34" s="8">
        <v>4760</v>
      </c>
      <c r="O34" s="8">
        <v>3093</v>
      </c>
      <c r="P34" s="8">
        <v>2962</v>
      </c>
      <c r="Q34" s="8">
        <v>1538</v>
      </c>
      <c r="R34" s="7">
        <f t="shared" si="1"/>
        <v>-5007</v>
      </c>
      <c r="S34" s="25">
        <f t="shared" si="2"/>
        <v>-2.9452941176470588</v>
      </c>
    </row>
    <row r="35" spans="1:28" ht="15.75" customHeight="1">
      <c r="A35" s="4">
        <v>34</v>
      </c>
      <c r="B35" s="5"/>
      <c r="C35" s="5" t="s">
        <v>68</v>
      </c>
      <c r="D35" s="6">
        <v>2000</v>
      </c>
      <c r="E35" s="7">
        <f t="shared" si="3"/>
        <v>170000</v>
      </c>
      <c r="F35" s="8">
        <v>58811</v>
      </c>
      <c r="G35" s="8">
        <v>14890</v>
      </c>
      <c r="H35" s="8">
        <v>6953</v>
      </c>
      <c r="I35" s="8">
        <v>35467</v>
      </c>
      <c r="J35" s="8">
        <v>6567</v>
      </c>
      <c r="K35" s="7">
        <v>16707</v>
      </c>
      <c r="L35" s="8">
        <v>3690</v>
      </c>
      <c r="M35" s="8">
        <v>24380</v>
      </c>
      <c r="N35" s="8">
        <v>4760</v>
      </c>
      <c r="O35" s="8">
        <v>3093</v>
      </c>
      <c r="P35" s="8">
        <v>2962</v>
      </c>
      <c r="Q35" s="8">
        <v>1538</v>
      </c>
      <c r="R35" s="7">
        <f t="shared" si="1"/>
        <v>-9818</v>
      </c>
      <c r="S35" s="25">
        <f t="shared" si="2"/>
        <v>-5.7752941176470589</v>
      </c>
    </row>
    <row r="36" spans="1:28" ht="15.75" customHeight="1">
      <c r="A36" s="4">
        <v>35</v>
      </c>
      <c r="B36" s="5"/>
      <c r="C36" s="5" t="s">
        <v>69</v>
      </c>
      <c r="D36" s="6">
        <v>2000</v>
      </c>
      <c r="E36" s="7">
        <f t="shared" si="3"/>
        <v>170000</v>
      </c>
      <c r="F36" s="8">
        <v>48449</v>
      </c>
      <c r="G36" s="8">
        <v>14890</v>
      </c>
      <c r="H36" s="8">
        <v>6953</v>
      </c>
      <c r="I36" s="8">
        <v>35467</v>
      </c>
      <c r="J36" s="8">
        <v>6567</v>
      </c>
      <c r="K36" s="7">
        <v>16707</v>
      </c>
      <c r="L36" s="8">
        <v>3690</v>
      </c>
      <c r="M36" s="8">
        <v>24380</v>
      </c>
      <c r="N36" s="8">
        <v>4760</v>
      </c>
      <c r="O36" s="8">
        <v>3093</v>
      </c>
      <c r="P36" s="8">
        <v>2962</v>
      </c>
      <c r="Q36" s="8">
        <v>1538</v>
      </c>
      <c r="R36" s="7">
        <f t="shared" si="1"/>
        <v>544</v>
      </c>
      <c r="S36" s="25">
        <f t="shared" si="2"/>
        <v>0.32</v>
      </c>
    </row>
    <row r="37" spans="1:28" ht="15.75" customHeight="1">
      <c r="A37" s="4">
        <v>36</v>
      </c>
      <c r="B37" s="5" t="s">
        <v>72</v>
      </c>
      <c r="C37" s="5" t="s">
        <v>73</v>
      </c>
      <c r="D37" s="6">
        <v>1400</v>
      </c>
      <c r="E37" s="7">
        <f t="shared" si="3"/>
        <v>119000</v>
      </c>
      <c r="F37" s="8">
        <v>42000</v>
      </c>
      <c r="G37" s="8">
        <v>14890</v>
      </c>
      <c r="H37" s="8">
        <v>6953</v>
      </c>
      <c r="I37" s="8">
        <v>35467</v>
      </c>
      <c r="J37" s="8">
        <v>6567</v>
      </c>
      <c r="K37" s="7">
        <v>16707</v>
      </c>
      <c r="L37" s="8">
        <v>3690</v>
      </c>
      <c r="M37" s="8">
        <v>24380</v>
      </c>
      <c r="N37" s="8">
        <v>4760</v>
      </c>
      <c r="O37" s="8">
        <v>3093</v>
      </c>
      <c r="P37" s="8">
        <v>2962</v>
      </c>
      <c r="Q37" s="8">
        <v>1538</v>
      </c>
      <c r="R37" s="7">
        <f t="shared" si="1"/>
        <v>-44007</v>
      </c>
      <c r="S37" s="25">
        <f t="shared" si="2"/>
        <v>-36.980672268907561</v>
      </c>
    </row>
    <row r="38" spans="1:28" ht="15.75" customHeight="1">
      <c r="A38" s="4">
        <v>37</v>
      </c>
      <c r="B38" s="5" t="s">
        <v>74</v>
      </c>
      <c r="C38" s="5" t="s">
        <v>75</v>
      </c>
      <c r="D38" s="6">
        <v>1800</v>
      </c>
      <c r="E38" s="7">
        <f t="shared" si="3"/>
        <v>153000</v>
      </c>
      <c r="F38" s="8">
        <v>77600</v>
      </c>
      <c r="G38" s="8">
        <v>14890</v>
      </c>
      <c r="H38" s="8">
        <v>6953</v>
      </c>
      <c r="I38" s="8">
        <v>35467</v>
      </c>
      <c r="J38" s="8">
        <v>6567</v>
      </c>
      <c r="K38" s="7">
        <v>16707</v>
      </c>
      <c r="L38" s="8">
        <v>3690</v>
      </c>
      <c r="M38" s="8">
        <v>24380</v>
      </c>
      <c r="N38" s="8">
        <v>4760</v>
      </c>
      <c r="O38" s="8">
        <v>3093</v>
      </c>
      <c r="P38" s="8">
        <v>2962</v>
      </c>
      <c r="Q38" s="8">
        <v>1538</v>
      </c>
      <c r="R38" s="7">
        <f t="shared" si="1"/>
        <v>-45607</v>
      </c>
      <c r="S38" s="25">
        <f t="shared" si="2"/>
        <v>-29.808496732026146</v>
      </c>
    </row>
    <row r="39" spans="1:28" ht="15.75" customHeight="1">
      <c r="A39" s="4">
        <v>38</v>
      </c>
      <c r="B39" s="5" t="s">
        <v>76</v>
      </c>
      <c r="C39" s="5" t="s">
        <v>77</v>
      </c>
      <c r="D39" s="6">
        <v>1600</v>
      </c>
      <c r="E39" s="7">
        <f t="shared" si="3"/>
        <v>136000</v>
      </c>
      <c r="F39" s="8">
        <v>63600</v>
      </c>
      <c r="G39" s="8">
        <v>14890</v>
      </c>
      <c r="H39" s="8">
        <v>6953</v>
      </c>
      <c r="I39" s="8">
        <v>35467</v>
      </c>
      <c r="J39" s="8">
        <v>6567</v>
      </c>
      <c r="K39" s="7">
        <v>16707</v>
      </c>
      <c r="L39" s="8">
        <v>3690</v>
      </c>
      <c r="M39" s="8">
        <v>24380</v>
      </c>
      <c r="N39" s="8">
        <v>4760</v>
      </c>
      <c r="O39" s="8">
        <v>3093</v>
      </c>
      <c r="P39" s="8">
        <v>2962</v>
      </c>
      <c r="Q39" s="8">
        <v>1538</v>
      </c>
      <c r="R39" s="7">
        <f t="shared" si="1"/>
        <v>-48607</v>
      </c>
      <c r="S39" s="25">
        <f t="shared" si="2"/>
        <v>-35.74044117647059</v>
      </c>
    </row>
    <row r="40" spans="1:28" ht="15.75" customHeight="1">
      <c r="A40" s="4">
        <v>39</v>
      </c>
      <c r="B40" s="26" t="s">
        <v>110</v>
      </c>
      <c r="C40" s="5" t="s">
        <v>54</v>
      </c>
      <c r="D40" s="6">
        <v>4900</v>
      </c>
      <c r="E40" s="7">
        <f t="shared" si="3"/>
        <v>416500</v>
      </c>
      <c r="F40" s="8">
        <v>172500</v>
      </c>
      <c r="G40" s="8"/>
      <c r="H40" s="8">
        <v>6953</v>
      </c>
      <c r="I40" s="8">
        <v>35467</v>
      </c>
      <c r="J40" s="8"/>
      <c r="K40" s="7"/>
      <c r="L40" s="8"/>
      <c r="M40" s="8"/>
      <c r="N40" s="8"/>
      <c r="O40" s="8"/>
      <c r="P40" s="8"/>
      <c r="Q40" s="8"/>
      <c r="R40" s="7">
        <f t="shared" si="1"/>
        <v>201580</v>
      </c>
      <c r="S40" s="25">
        <f t="shared" si="2"/>
        <v>48.398559423769512</v>
      </c>
    </row>
    <row r="41" spans="1:28" ht="15.75" customHeight="1">
      <c r="A41" s="4">
        <v>40</v>
      </c>
      <c r="B41" s="5"/>
      <c r="C41" s="5" t="s">
        <v>55</v>
      </c>
      <c r="D41" s="6">
        <v>5610</v>
      </c>
      <c r="E41" s="7">
        <f t="shared" si="3"/>
        <v>476850</v>
      </c>
      <c r="F41" s="8">
        <v>226800</v>
      </c>
      <c r="G41" s="8"/>
      <c r="H41" s="8">
        <v>6953</v>
      </c>
      <c r="I41" s="8">
        <v>35467</v>
      </c>
      <c r="J41" s="8"/>
      <c r="K41" s="7"/>
      <c r="L41" s="8"/>
      <c r="M41" s="8"/>
      <c r="N41" s="8"/>
      <c r="O41" s="8"/>
      <c r="P41" s="8"/>
      <c r="Q41" s="8"/>
      <c r="R41" s="7">
        <f t="shared" si="1"/>
        <v>207630</v>
      </c>
      <c r="S41" s="25">
        <f t="shared" si="2"/>
        <v>43.541994337842091</v>
      </c>
    </row>
    <row r="42" spans="1:28" ht="15.75" customHeight="1">
      <c r="A42" s="4">
        <v>41</v>
      </c>
      <c r="B42" s="5"/>
      <c r="C42" s="5" t="s">
        <v>56</v>
      </c>
      <c r="D42" s="6">
        <v>6000</v>
      </c>
      <c r="E42" s="7">
        <f t="shared" si="3"/>
        <v>510000</v>
      </c>
      <c r="F42" s="8">
        <v>291600</v>
      </c>
      <c r="G42" s="8"/>
      <c r="H42" s="8">
        <v>6953</v>
      </c>
      <c r="I42" s="8">
        <v>35467</v>
      </c>
      <c r="J42" s="8"/>
      <c r="K42" s="7"/>
      <c r="L42" s="8"/>
      <c r="M42" s="8"/>
      <c r="N42" s="8"/>
      <c r="O42" s="8"/>
      <c r="P42" s="8"/>
      <c r="Q42" s="8"/>
      <c r="R42" s="7">
        <f t="shared" si="1"/>
        <v>175980</v>
      </c>
      <c r="S42" s="25">
        <f t="shared" si="2"/>
        <v>34.505882352941178</v>
      </c>
    </row>
    <row r="43" spans="1:28" ht="15.75" customHeight="1">
      <c r="A43" s="4">
        <v>42</v>
      </c>
      <c r="B43" s="5" t="s">
        <v>57</v>
      </c>
      <c r="C43" s="5" t="s">
        <v>58</v>
      </c>
      <c r="D43" s="6">
        <v>2628</v>
      </c>
      <c r="E43" s="7">
        <f t="shared" si="3"/>
        <v>223380</v>
      </c>
      <c r="F43" s="8">
        <v>107930</v>
      </c>
      <c r="G43" s="8"/>
      <c r="H43" s="8">
        <v>6953</v>
      </c>
      <c r="I43" s="8">
        <v>35467</v>
      </c>
      <c r="J43" s="8"/>
      <c r="K43" s="7"/>
      <c r="L43" s="8">
        <v>3690</v>
      </c>
      <c r="M43" s="8">
        <v>24380</v>
      </c>
      <c r="N43" s="8">
        <v>4760</v>
      </c>
      <c r="O43" s="8">
        <v>3093</v>
      </c>
      <c r="P43" s="8">
        <v>2962</v>
      </c>
      <c r="Q43" s="8">
        <v>1538</v>
      </c>
      <c r="R43" s="7">
        <f t="shared" si="1"/>
        <v>32607</v>
      </c>
      <c r="S43" s="25">
        <f t="shared" si="2"/>
        <v>14.59709911361805</v>
      </c>
    </row>
    <row r="44" spans="1:28" ht="15.75" customHeight="1">
      <c r="A44" s="4">
        <v>43</v>
      </c>
      <c r="B44" s="5" t="s">
        <v>70</v>
      </c>
      <c r="C44" s="11" t="s">
        <v>71</v>
      </c>
      <c r="D44" s="12">
        <v>114884</v>
      </c>
      <c r="E44" s="7">
        <v>114884</v>
      </c>
      <c r="F44" s="8">
        <v>94167</v>
      </c>
      <c r="G44" s="8"/>
      <c r="H44" s="8">
        <v>6953</v>
      </c>
      <c r="I44" s="8">
        <v>35467</v>
      </c>
      <c r="J44" s="8"/>
      <c r="K44" s="7"/>
      <c r="L44" s="8"/>
      <c r="M44" s="8"/>
      <c r="N44" s="8"/>
      <c r="O44" s="8"/>
      <c r="P44" s="8"/>
      <c r="Q44" s="8"/>
      <c r="R44" s="7">
        <f t="shared" si="1"/>
        <v>-21703</v>
      </c>
      <c r="S44" s="25">
        <f t="shared" si="2"/>
        <v>-18.891229414017619</v>
      </c>
    </row>
    <row r="45" spans="1:28" ht="15.75" customHeight="1">
      <c r="A45" s="15"/>
      <c r="B45" s="15"/>
      <c r="C45" s="15"/>
      <c r="D45" s="15"/>
      <c r="E45" s="15"/>
      <c r="F45" s="16"/>
      <c r="G45" s="1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25"/>
    </row>
    <row r="46" spans="1:28" ht="15.75" customHeight="1">
      <c r="A46" s="15"/>
      <c r="B46" s="15"/>
      <c r="C46" s="15"/>
      <c r="D46" s="15"/>
      <c r="E46" s="15"/>
      <c r="F46" s="16"/>
      <c r="G46" s="1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25"/>
    </row>
    <row r="47" spans="1:28" ht="15.75" customHeight="1">
      <c r="A47" s="29"/>
      <c r="B47" s="29"/>
      <c r="C47" s="29" t="s">
        <v>82</v>
      </c>
      <c r="D47" s="29"/>
      <c r="E47" s="30">
        <f t="shared" ref="E47:R47" si="4">SUM(E2:E44)</f>
        <v>7634239</v>
      </c>
      <c r="F47" s="31">
        <f t="shared" si="4"/>
        <v>3223405</v>
      </c>
      <c r="G47" s="31">
        <f t="shared" si="4"/>
        <v>565820</v>
      </c>
      <c r="H47" s="31">
        <f t="shared" si="4"/>
        <v>298979</v>
      </c>
      <c r="I47" s="31">
        <f t="shared" si="4"/>
        <v>1525081</v>
      </c>
      <c r="J47" s="31">
        <f t="shared" si="4"/>
        <v>249546</v>
      </c>
      <c r="K47" s="30">
        <f t="shared" si="4"/>
        <v>634866</v>
      </c>
      <c r="L47" s="31">
        <f t="shared" si="4"/>
        <v>143910</v>
      </c>
      <c r="M47" s="31">
        <f t="shared" si="4"/>
        <v>950820</v>
      </c>
      <c r="N47" s="31">
        <f t="shared" si="4"/>
        <v>185640</v>
      </c>
      <c r="O47" s="31">
        <f t="shared" si="4"/>
        <v>120627</v>
      </c>
      <c r="P47" s="31">
        <f t="shared" si="4"/>
        <v>115518</v>
      </c>
      <c r="Q47" s="31">
        <f t="shared" si="4"/>
        <v>59982</v>
      </c>
      <c r="R47" s="30">
        <f t="shared" si="4"/>
        <v>-439955</v>
      </c>
      <c r="S47" s="25"/>
      <c r="T47" s="32"/>
      <c r="U47" s="32"/>
      <c r="V47" s="32"/>
      <c r="W47" s="32"/>
      <c r="X47" s="32"/>
      <c r="Y47" s="32"/>
      <c r="Z47" s="32"/>
      <c r="AA47" s="32"/>
      <c r="AB47" s="32"/>
    </row>
    <row r="48" spans="1:28" ht="15.75" customHeight="1">
      <c r="A48" s="29"/>
      <c r="B48" s="29"/>
      <c r="C48" s="29" t="s">
        <v>83</v>
      </c>
      <c r="D48" s="29"/>
      <c r="E48" s="30">
        <f t="shared" ref="E48:F48" si="5">E47/43</f>
        <v>177540.44186046513</v>
      </c>
      <c r="F48" s="31">
        <f t="shared" si="5"/>
        <v>74962.906976744183</v>
      </c>
      <c r="G48" s="31">
        <f>G47/38</f>
        <v>14890</v>
      </c>
      <c r="H48" s="31">
        <f t="shared" ref="H48:I48" si="6">H47/43</f>
        <v>6953</v>
      </c>
      <c r="I48" s="31">
        <f t="shared" si="6"/>
        <v>35467</v>
      </c>
      <c r="J48" s="31">
        <f t="shared" ref="J48:K48" si="7">J47/38</f>
        <v>6567</v>
      </c>
      <c r="K48" s="30">
        <f t="shared" si="7"/>
        <v>16707</v>
      </c>
      <c r="L48" s="31">
        <f t="shared" ref="L48:Q48" si="8">L47/39</f>
        <v>3690</v>
      </c>
      <c r="M48" s="31">
        <f t="shared" si="8"/>
        <v>24380</v>
      </c>
      <c r="N48" s="31">
        <f t="shared" si="8"/>
        <v>4760</v>
      </c>
      <c r="O48" s="31">
        <f t="shared" si="8"/>
        <v>3093</v>
      </c>
      <c r="P48" s="31">
        <f t="shared" si="8"/>
        <v>2962</v>
      </c>
      <c r="Q48" s="31">
        <f t="shared" si="8"/>
        <v>1538</v>
      </c>
      <c r="R48" s="29"/>
      <c r="S48" s="25"/>
      <c r="T48" s="32"/>
      <c r="U48" s="32"/>
      <c r="V48" s="32"/>
      <c r="W48" s="32"/>
      <c r="X48" s="32"/>
      <c r="Y48" s="32"/>
      <c r="Z48" s="32"/>
      <c r="AA48" s="32"/>
      <c r="AB48" s="32"/>
    </row>
    <row r="49" spans="19:19" ht="15.75" customHeight="1">
      <c r="S49" s="25"/>
    </row>
    <row r="50" spans="19:19" ht="13">
      <c r="S50" s="25"/>
    </row>
    <row r="51" spans="19:19" ht="13">
      <c r="S51" s="25"/>
    </row>
    <row r="52" spans="19:19" ht="13">
      <c r="S52" s="25"/>
    </row>
    <row r="53" spans="19:19" ht="13">
      <c r="S53" s="25"/>
    </row>
    <row r="54" spans="19:19" ht="13">
      <c r="S54" s="25"/>
    </row>
    <row r="55" spans="19:19" ht="13">
      <c r="S55" s="25"/>
    </row>
    <row r="56" spans="19:19" ht="13">
      <c r="S56" s="25"/>
    </row>
    <row r="57" spans="19:19" ht="13">
      <c r="S57" s="25"/>
    </row>
    <row r="58" spans="19:19" ht="13">
      <c r="S58" s="25"/>
    </row>
    <row r="59" spans="19:19" ht="13">
      <c r="S59" s="25"/>
    </row>
    <row r="60" spans="19:19" ht="13">
      <c r="S60" s="25"/>
    </row>
    <row r="61" spans="19:19" ht="13">
      <c r="S61" s="25"/>
    </row>
    <row r="62" spans="19:19" ht="13">
      <c r="S62" s="25"/>
    </row>
    <row r="63" spans="19:19" ht="13">
      <c r="S63" s="25"/>
    </row>
    <row r="64" spans="19:19" ht="13">
      <c r="S64" s="25"/>
    </row>
    <row r="65" spans="1:19" ht="13">
      <c r="S65" s="25"/>
    </row>
    <row r="66" spans="1:19" ht="13">
      <c r="B66" s="20"/>
      <c r="C66" s="21"/>
      <c r="S66" s="25"/>
    </row>
    <row r="67" spans="1:19" ht="13">
      <c r="A67" s="9" t="s">
        <v>111</v>
      </c>
      <c r="B67" s="20"/>
      <c r="S67" s="25"/>
    </row>
    <row r="68" spans="1:19" ht="13">
      <c r="B68" s="20" t="s">
        <v>85</v>
      </c>
      <c r="C68" s="21">
        <v>38800</v>
      </c>
      <c r="S68" s="25"/>
    </row>
    <row r="69" spans="1:19" ht="13">
      <c r="B69" s="20" t="s">
        <v>86</v>
      </c>
      <c r="C69" s="21">
        <v>35767</v>
      </c>
      <c r="S69" s="25"/>
    </row>
    <row r="70" spans="1:19" ht="13">
      <c r="B70" s="20" t="s">
        <v>112</v>
      </c>
      <c r="C70" s="21">
        <v>43000</v>
      </c>
      <c r="S70" s="25"/>
    </row>
    <row r="71" spans="1:19" ht="13">
      <c r="B71" s="20" t="s">
        <v>79</v>
      </c>
      <c r="C71" s="21">
        <v>62600</v>
      </c>
      <c r="S71" s="25"/>
    </row>
    <row r="72" spans="1:19" ht="13">
      <c r="B72" s="20" t="s">
        <v>87</v>
      </c>
      <c r="C72" s="21">
        <v>23000</v>
      </c>
      <c r="S72" s="25"/>
    </row>
    <row r="73" spans="1:19" ht="13">
      <c r="B73" s="20" t="s">
        <v>78</v>
      </c>
      <c r="C73" s="21">
        <v>51600</v>
      </c>
      <c r="S73" s="25"/>
    </row>
    <row r="74" spans="1:19" ht="13">
      <c r="B74" s="20" t="s">
        <v>80</v>
      </c>
      <c r="C74" s="21">
        <v>66313</v>
      </c>
      <c r="S74" s="25"/>
    </row>
    <row r="75" spans="1:19" ht="13">
      <c r="B75" s="20" t="s">
        <v>89</v>
      </c>
      <c r="C75" s="21">
        <v>58454</v>
      </c>
      <c r="S75" s="25"/>
    </row>
    <row r="76" spans="1:19" ht="13">
      <c r="B76" s="20" t="s">
        <v>66</v>
      </c>
      <c r="C76" s="21">
        <v>50713</v>
      </c>
      <c r="S76" s="25"/>
    </row>
    <row r="77" spans="1:19" ht="13">
      <c r="B77" s="20" t="s">
        <v>91</v>
      </c>
      <c r="C77" s="21">
        <v>46714</v>
      </c>
      <c r="S77" s="25"/>
    </row>
    <row r="78" spans="1:19" ht="13">
      <c r="B78" s="20" t="s">
        <v>113</v>
      </c>
      <c r="C78" s="21">
        <v>88835</v>
      </c>
      <c r="D78" s="9">
        <f>SUM(C67:C78)</f>
        <v>565796</v>
      </c>
      <c r="E78" s="33">
        <f>D78/38</f>
        <v>14889.368421052632</v>
      </c>
      <c r="S78" s="25"/>
    </row>
    <row r="79" spans="1:19" ht="13">
      <c r="B79" s="20"/>
      <c r="C79" s="21"/>
      <c r="S79" s="25"/>
    </row>
    <row r="80" spans="1:19" ht="13">
      <c r="B80" s="20"/>
      <c r="C80" s="21"/>
      <c r="S80" s="25"/>
    </row>
    <row r="81" spans="1:19" ht="13">
      <c r="S81" s="25"/>
    </row>
    <row r="82" spans="1:19" ht="13">
      <c r="A82" s="34" t="s">
        <v>93</v>
      </c>
      <c r="B82" s="20" t="s">
        <v>94</v>
      </c>
      <c r="C82" s="21">
        <v>70600</v>
      </c>
      <c r="S82" s="25"/>
    </row>
    <row r="83" spans="1:19" ht="13">
      <c r="A83" s="34" t="s">
        <v>93</v>
      </c>
      <c r="B83" s="20" t="s">
        <v>95</v>
      </c>
      <c r="C83" s="21">
        <f>32000-15000</f>
        <v>17000</v>
      </c>
      <c r="S83" s="25"/>
    </row>
    <row r="84" spans="1:19" ht="13">
      <c r="A84" s="34" t="s">
        <v>114</v>
      </c>
      <c r="B84" s="20" t="s">
        <v>96</v>
      </c>
      <c r="C84" s="21">
        <v>65700</v>
      </c>
      <c r="S84" s="25"/>
    </row>
    <row r="85" spans="1:19" ht="13">
      <c r="A85" s="34" t="s">
        <v>114</v>
      </c>
      <c r="B85" s="20" t="s">
        <v>90</v>
      </c>
      <c r="C85" s="21">
        <v>145700</v>
      </c>
      <c r="D85" s="9">
        <f>SUM(C82:C85)</f>
        <v>299000</v>
      </c>
      <c r="E85" s="33">
        <f>D85/43</f>
        <v>6953.4883720930229</v>
      </c>
      <c r="S85" s="25"/>
    </row>
    <row r="86" spans="1:19" ht="13">
      <c r="S86" s="25"/>
    </row>
    <row r="87" spans="1:19" ht="13">
      <c r="F87" s="34"/>
      <c r="G87" s="20"/>
      <c r="H87" s="21"/>
      <c r="S87" s="25"/>
    </row>
    <row r="88" spans="1:19" ht="13">
      <c r="A88" s="9" t="s">
        <v>98</v>
      </c>
      <c r="B88" s="22" t="s">
        <v>99</v>
      </c>
      <c r="C88" s="23">
        <v>20900</v>
      </c>
      <c r="F88" s="34"/>
      <c r="G88" s="20"/>
      <c r="H88" s="21"/>
      <c r="S88" s="25"/>
    </row>
    <row r="89" spans="1:19" ht="13">
      <c r="B89" s="22" t="s">
        <v>100</v>
      </c>
      <c r="C89" s="23">
        <v>143640</v>
      </c>
      <c r="F89" s="34"/>
      <c r="G89" s="20"/>
      <c r="H89" s="21"/>
      <c r="S89" s="25"/>
    </row>
    <row r="90" spans="1:19" ht="13">
      <c r="B90" s="22" t="s">
        <v>101</v>
      </c>
      <c r="C90" s="23">
        <v>13000</v>
      </c>
      <c r="F90" s="34"/>
      <c r="G90" s="20"/>
      <c r="H90" s="21"/>
      <c r="S90" s="25"/>
    </row>
    <row r="91" spans="1:19" ht="13">
      <c r="B91" s="22" t="s">
        <v>102</v>
      </c>
      <c r="C91" s="23">
        <v>32927</v>
      </c>
      <c r="F91" s="34"/>
      <c r="G91" s="20"/>
      <c r="H91" s="21"/>
      <c r="S91" s="25"/>
    </row>
    <row r="92" spans="1:19" ht="13">
      <c r="B92" s="22" t="s">
        <v>103</v>
      </c>
      <c r="C92" s="23">
        <v>46242</v>
      </c>
      <c r="F92" s="34"/>
      <c r="G92" s="20"/>
      <c r="H92" s="21"/>
      <c r="S92" s="25"/>
    </row>
    <row r="93" spans="1:19" ht="13">
      <c r="B93" s="22" t="s">
        <v>104</v>
      </c>
      <c r="C93" s="23">
        <v>150000</v>
      </c>
      <c r="F93" s="34"/>
      <c r="G93" s="20"/>
      <c r="H93" s="21"/>
      <c r="S93" s="25"/>
    </row>
    <row r="94" spans="1:19" ht="13">
      <c r="B94" s="22" t="s">
        <v>105</v>
      </c>
      <c r="C94" s="23">
        <v>110000</v>
      </c>
      <c r="F94" s="34"/>
      <c r="G94" s="20"/>
      <c r="H94" s="21"/>
      <c r="S94" s="25"/>
    </row>
    <row r="95" spans="1:19" ht="13">
      <c r="B95" s="22" t="s">
        <v>106</v>
      </c>
      <c r="C95" s="23">
        <v>32796</v>
      </c>
      <c r="S95" s="25"/>
    </row>
    <row r="96" spans="1:19" ht="13">
      <c r="B96" s="9" t="s">
        <v>107</v>
      </c>
      <c r="C96" s="9">
        <v>975578</v>
      </c>
      <c r="D96" s="9">
        <f>SUM(C88:C96)</f>
        <v>1525083</v>
      </c>
      <c r="E96" s="33">
        <f>D96/43</f>
        <v>35467.046511627908</v>
      </c>
      <c r="S96" s="25"/>
    </row>
    <row r="97" spans="1:19" ht="13">
      <c r="S97" s="25"/>
    </row>
    <row r="98" spans="1:19" ht="13">
      <c r="S98" s="25"/>
    </row>
    <row r="99" spans="1:19" ht="15">
      <c r="A99" s="35" t="s">
        <v>115</v>
      </c>
      <c r="B99" s="9">
        <v>133707</v>
      </c>
      <c r="C99" s="9">
        <v>3</v>
      </c>
      <c r="S99" s="25"/>
    </row>
    <row r="100" spans="1:19" ht="15">
      <c r="A100" s="35" t="s">
        <v>116</v>
      </c>
      <c r="B100" s="9">
        <f>783000/12</f>
        <v>65250</v>
      </c>
      <c r="C100" s="9">
        <v>12</v>
      </c>
      <c r="S100" s="25"/>
    </row>
    <row r="101" spans="1:19" ht="15">
      <c r="A101" s="35" t="s">
        <v>117</v>
      </c>
      <c r="B101" s="35">
        <v>172635</v>
      </c>
      <c r="S101" s="25"/>
    </row>
    <row r="102" spans="1:19" ht="15">
      <c r="A102" s="35" t="s">
        <v>118</v>
      </c>
      <c r="B102" s="35">
        <v>176484</v>
      </c>
      <c r="S102" s="25"/>
    </row>
    <row r="103" spans="1:19" ht="15">
      <c r="A103" s="35" t="s">
        <v>119</v>
      </c>
      <c r="B103" s="36">
        <v>86785</v>
      </c>
      <c r="C103" s="9">
        <f>SUM(B99:B103)</f>
        <v>634861</v>
      </c>
      <c r="D103" s="33">
        <f>C103/38</f>
        <v>16706.86842105263</v>
      </c>
      <c r="S103" s="25"/>
    </row>
    <row r="104" spans="1:19" ht="13">
      <c r="S104" s="25"/>
    </row>
    <row r="105" spans="1:19" ht="13">
      <c r="A105" s="9" t="s">
        <v>120</v>
      </c>
      <c r="C105" s="9" t="s">
        <v>121</v>
      </c>
      <c r="S105" s="25"/>
    </row>
    <row r="106" spans="1:19" ht="13">
      <c r="A106" s="9" t="s">
        <v>97</v>
      </c>
      <c r="B106" s="9" t="s">
        <v>122</v>
      </c>
      <c r="S106" s="25"/>
    </row>
    <row r="107" spans="1:19" ht="13">
      <c r="A107" s="9" t="s">
        <v>97</v>
      </c>
      <c r="B107" s="9" t="s">
        <v>123</v>
      </c>
      <c r="S107" s="25"/>
    </row>
    <row r="108" spans="1:19" ht="13">
      <c r="A108" s="9" t="s">
        <v>13</v>
      </c>
      <c r="S108" s="25"/>
    </row>
    <row r="109" spans="1:19" ht="13">
      <c r="A109" s="9" t="s">
        <v>9</v>
      </c>
      <c r="S109" s="25"/>
    </row>
    <row r="110" spans="1:19" ht="13">
      <c r="A110" s="9" t="s">
        <v>12</v>
      </c>
      <c r="S110" s="25"/>
    </row>
    <row r="111" spans="1:19" ht="13">
      <c r="A111" s="9" t="s">
        <v>11</v>
      </c>
      <c r="S111" s="25"/>
    </row>
    <row r="112" spans="1:19" ht="13">
      <c r="S112" s="25"/>
    </row>
    <row r="113" spans="19:19" ht="13">
      <c r="S113" s="25"/>
    </row>
    <row r="114" spans="19:19" ht="13">
      <c r="S114" s="25"/>
    </row>
    <row r="115" spans="19:19" ht="13">
      <c r="S115" s="25"/>
    </row>
    <row r="116" spans="19:19" ht="13">
      <c r="S116" s="25"/>
    </row>
    <row r="117" spans="19:19" ht="13">
      <c r="S117" s="25"/>
    </row>
    <row r="118" spans="19:19" ht="13">
      <c r="S118" s="25"/>
    </row>
    <row r="119" spans="19:19" ht="13">
      <c r="S119" s="25"/>
    </row>
    <row r="120" spans="19:19" ht="13">
      <c r="S120" s="25"/>
    </row>
    <row r="121" spans="19:19" ht="13">
      <c r="S121" s="25"/>
    </row>
    <row r="122" spans="19:19" ht="13">
      <c r="S122" s="25"/>
    </row>
    <row r="123" spans="19:19" ht="13">
      <c r="S123" s="25"/>
    </row>
    <row r="124" spans="19:19" ht="13">
      <c r="S124" s="25"/>
    </row>
    <row r="125" spans="19:19" ht="13">
      <c r="S125" s="25"/>
    </row>
    <row r="126" spans="19:19" ht="13">
      <c r="S126" s="25"/>
    </row>
    <row r="127" spans="19:19" ht="13">
      <c r="S127" s="25"/>
    </row>
    <row r="128" spans="19:19" ht="13">
      <c r="S128" s="25"/>
    </row>
    <row r="129" spans="19:19" ht="13">
      <c r="S129" s="25"/>
    </row>
    <row r="130" spans="19:19" ht="13">
      <c r="S130" s="25"/>
    </row>
    <row r="131" spans="19:19" ht="13">
      <c r="S131" s="25"/>
    </row>
    <row r="132" spans="19:19" ht="13">
      <c r="S132" s="25"/>
    </row>
    <row r="133" spans="19:19" ht="13">
      <c r="S133" s="25"/>
    </row>
    <row r="134" spans="19:19" ht="13">
      <c r="S134" s="25"/>
    </row>
    <row r="135" spans="19:19" ht="13">
      <c r="S135" s="25"/>
    </row>
    <row r="136" spans="19:19" ht="13">
      <c r="S136" s="25"/>
    </row>
    <row r="137" spans="19:19" ht="13">
      <c r="S137" s="25"/>
    </row>
    <row r="138" spans="19:19" ht="13">
      <c r="S138" s="25"/>
    </row>
    <row r="139" spans="19:19" ht="13">
      <c r="S139" s="25"/>
    </row>
    <row r="140" spans="19:19" ht="13">
      <c r="S140" s="25"/>
    </row>
    <row r="141" spans="19:19" ht="13">
      <c r="S141" s="25"/>
    </row>
    <row r="142" spans="19:19" ht="13">
      <c r="S142" s="25"/>
    </row>
    <row r="143" spans="19:19" ht="13">
      <c r="S143" s="25"/>
    </row>
    <row r="144" spans="19:19" ht="13">
      <c r="S144" s="25"/>
    </row>
    <row r="145" spans="19:19" ht="13">
      <c r="S145" s="25"/>
    </row>
    <row r="146" spans="19:19" ht="13">
      <c r="S146" s="25"/>
    </row>
    <row r="147" spans="19:19" ht="13">
      <c r="S147" s="25"/>
    </row>
    <row r="148" spans="19:19" ht="13">
      <c r="S148" s="25"/>
    </row>
    <row r="149" spans="19:19" ht="13">
      <c r="S149" s="25"/>
    </row>
    <row r="150" spans="19:19" ht="13">
      <c r="S150" s="25"/>
    </row>
    <row r="151" spans="19:19" ht="13">
      <c r="S151" s="25"/>
    </row>
    <row r="152" spans="19:19" ht="13">
      <c r="S152" s="25"/>
    </row>
    <row r="153" spans="19:19" ht="13">
      <c r="S153" s="25"/>
    </row>
    <row r="154" spans="19:19" ht="13">
      <c r="S154" s="25"/>
    </row>
    <row r="155" spans="19:19" ht="13">
      <c r="S155" s="25"/>
    </row>
    <row r="156" spans="19:19" ht="13">
      <c r="S156" s="25"/>
    </row>
    <row r="157" spans="19:19" ht="13">
      <c r="S157" s="25"/>
    </row>
    <row r="158" spans="19:19" ht="13">
      <c r="S158" s="25"/>
    </row>
    <row r="159" spans="19:19" ht="13">
      <c r="S159" s="25"/>
    </row>
    <row r="160" spans="19:19" ht="13">
      <c r="S160" s="25"/>
    </row>
    <row r="161" spans="19:19" ht="13">
      <c r="S161" s="25"/>
    </row>
    <row r="162" spans="19:19" ht="13">
      <c r="S162" s="25"/>
    </row>
    <row r="163" spans="19:19" ht="13">
      <c r="S163" s="25"/>
    </row>
    <row r="164" spans="19:19" ht="13">
      <c r="S164" s="25"/>
    </row>
    <row r="165" spans="19:19" ht="13">
      <c r="S165" s="25"/>
    </row>
    <row r="166" spans="19:19" ht="13">
      <c r="S166" s="25"/>
    </row>
    <row r="167" spans="19:19" ht="13">
      <c r="S167" s="25"/>
    </row>
    <row r="168" spans="19:19" ht="13">
      <c r="S168" s="25"/>
    </row>
    <row r="169" spans="19:19" ht="13">
      <c r="S169" s="25"/>
    </row>
    <row r="170" spans="19:19" ht="13">
      <c r="S170" s="25"/>
    </row>
    <row r="171" spans="19:19" ht="13">
      <c r="S171" s="25"/>
    </row>
    <row r="172" spans="19:19" ht="13">
      <c r="S172" s="25"/>
    </row>
    <row r="173" spans="19:19" ht="13">
      <c r="S173" s="25"/>
    </row>
    <row r="174" spans="19:19" ht="13">
      <c r="S174" s="25"/>
    </row>
    <row r="175" spans="19:19" ht="13">
      <c r="S175" s="25"/>
    </row>
    <row r="176" spans="19:19" ht="13">
      <c r="S176" s="25"/>
    </row>
    <row r="177" spans="19:19" ht="13">
      <c r="S177" s="25"/>
    </row>
    <row r="178" spans="19:19" ht="13">
      <c r="S178" s="25"/>
    </row>
    <row r="179" spans="19:19" ht="13">
      <c r="S179" s="25"/>
    </row>
    <row r="180" spans="19:19" ht="13">
      <c r="S180" s="25"/>
    </row>
    <row r="181" spans="19:19" ht="13">
      <c r="S181" s="25"/>
    </row>
    <row r="182" spans="19:19" ht="13">
      <c r="S182" s="25"/>
    </row>
    <row r="183" spans="19:19" ht="13">
      <c r="S183" s="25"/>
    </row>
    <row r="184" spans="19:19" ht="13">
      <c r="S184" s="25"/>
    </row>
    <row r="185" spans="19:19" ht="13">
      <c r="S185" s="25"/>
    </row>
    <row r="186" spans="19:19" ht="13">
      <c r="S186" s="25"/>
    </row>
    <row r="187" spans="19:19" ht="13">
      <c r="S187" s="25"/>
    </row>
    <row r="188" spans="19:19" ht="13">
      <c r="S188" s="25"/>
    </row>
    <row r="189" spans="19:19" ht="13">
      <c r="S189" s="25"/>
    </row>
    <row r="190" spans="19:19" ht="13">
      <c r="S190" s="25"/>
    </row>
    <row r="191" spans="19:19" ht="13">
      <c r="S191" s="25"/>
    </row>
    <row r="192" spans="19:19" ht="13">
      <c r="S192" s="25"/>
    </row>
    <row r="193" spans="19:19" ht="13">
      <c r="S193" s="25"/>
    </row>
    <row r="194" spans="19:19" ht="13">
      <c r="S194" s="25"/>
    </row>
    <row r="195" spans="19:19" ht="13">
      <c r="S195" s="25"/>
    </row>
    <row r="196" spans="19:19" ht="13">
      <c r="S196" s="25"/>
    </row>
    <row r="197" spans="19:19" ht="13">
      <c r="S197" s="25"/>
    </row>
    <row r="198" spans="19:19" ht="13">
      <c r="S198" s="25"/>
    </row>
    <row r="199" spans="19:19" ht="13">
      <c r="S199" s="25"/>
    </row>
    <row r="200" spans="19:19" ht="13">
      <c r="S200" s="25"/>
    </row>
    <row r="201" spans="19:19" ht="13">
      <c r="S201" s="25"/>
    </row>
    <row r="202" spans="19:19" ht="13">
      <c r="S202" s="25"/>
    </row>
    <row r="203" spans="19:19" ht="13">
      <c r="S203" s="25"/>
    </row>
    <row r="204" spans="19:19" ht="13">
      <c r="S204" s="25"/>
    </row>
    <row r="205" spans="19:19" ht="13">
      <c r="S205" s="25"/>
    </row>
    <row r="206" spans="19:19" ht="13">
      <c r="S206" s="25"/>
    </row>
    <row r="207" spans="19:19" ht="13">
      <c r="S207" s="25"/>
    </row>
    <row r="208" spans="19:19" ht="13">
      <c r="S208" s="25"/>
    </row>
    <row r="209" spans="19:19" ht="13">
      <c r="S209" s="25"/>
    </row>
    <row r="210" spans="19:19" ht="13">
      <c r="S210" s="25"/>
    </row>
    <row r="211" spans="19:19" ht="13">
      <c r="S211" s="25"/>
    </row>
    <row r="212" spans="19:19" ht="13">
      <c r="S212" s="25"/>
    </row>
    <row r="213" spans="19:19" ht="13">
      <c r="S213" s="25"/>
    </row>
    <row r="214" spans="19:19" ht="13">
      <c r="S214" s="25"/>
    </row>
    <row r="215" spans="19:19" ht="13">
      <c r="S215" s="25"/>
    </row>
    <row r="216" spans="19:19" ht="13">
      <c r="S216" s="25"/>
    </row>
    <row r="217" spans="19:19" ht="13">
      <c r="S217" s="25"/>
    </row>
    <row r="218" spans="19:19" ht="13">
      <c r="S218" s="25"/>
    </row>
    <row r="219" spans="19:19" ht="13">
      <c r="S219" s="25"/>
    </row>
    <row r="220" spans="19:19" ht="13">
      <c r="S220" s="25"/>
    </row>
    <row r="221" spans="19:19" ht="13">
      <c r="S221" s="25"/>
    </row>
    <row r="222" spans="19:19" ht="13">
      <c r="S222" s="25"/>
    </row>
    <row r="223" spans="19:19" ht="13">
      <c r="S223" s="25"/>
    </row>
    <row r="224" spans="19:19" ht="13">
      <c r="S224" s="25"/>
    </row>
    <row r="225" spans="19:19" ht="13">
      <c r="S225" s="25"/>
    </row>
    <row r="226" spans="19:19" ht="13">
      <c r="S226" s="25"/>
    </row>
    <row r="227" spans="19:19" ht="13">
      <c r="S227" s="25"/>
    </row>
    <row r="228" spans="19:19" ht="13">
      <c r="S228" s="25"/>
    </row>
    <row r="229" spans="19:19" ht="13">
      <c r="S229" s="25"/>
    </row>
    <row r="230" spans="19:19" ht="13">
      <c r="S230" s="25"/>
    </row>
    <row r="231" spans="19:19" ht="13">
      <c r="S231" s="25"/>
    </row>
    <row r="232" spans="19:19" ht="13">
      <c r="S232" s="25"/>
    </row>
    <row r="233" spans="19:19" ht="13">
      <c r="S233" s="25"/>
    </row>
    <row r="234" spans="19:19" ht="13">
      <c r="S234" s="25"/>
    </row>
    <row r="235" spans="19:19" ht="13">
      <c r="S235" s="25"/>
    </row>
    <row r="236" spans="19:19" ht="13">
      <c r="S236" s="25"/>
    </row>
    <row r="237" spans="19:19" ht="13">
      <c r="S237" s="25"/>
    </row>
    <row r="238" spans="19:19" ht="13">
      <c r="S238" s="25"/>
    </row>
    <row r="239" spans="19:19" ht="13">
      <c r="S239" s="25"/>
    </row>
    <row r="240" spans="19:19" ht="13">
      <c r="S240" s="25"/>
    </row>
    <row r="241" spans="19:19" ht="13">
      <c r="S241" s="25"/>
    </row>
    <row r="242" spans="19:19" ht="13">
      <c r="S242" s="25"/>
    </row>
    <row r="243" spans="19:19" ht="13">
      <c r="S243" s="25"/>
    </row>
    <row r="244" spans="19:19" ht="13">
      <c r="S244" s="25"/>
    </row>
    <row r="245" spans="19:19" ht="13">
      <c r="S245" s="25"/>
    </row>
    <row r="246" spans="19:19" ht="13">
      <c r="S246" s="25"/>
    </row>
    <row r="247" spans="19:19" ht="13">
      <c r="S247" s="25"/>
    </row>
    <row r="248" spans="19:19" ht="13">
      <c r="S248" s="25"/>
    </row>
    <row r="249" spans="19:19" ht="13">
      <c r="S249" s="25"/>
    </row>
    <row r="250" spans="19:19" ht="13">
      <c r="S250" s="25"/>
    </row>
    <row r="251" spans="19:19" ht="13">
      <c r="S251" s="25"/>
    </row>
    <row r="252" spans="19:19" ht="13">
      <c r="S252" s="25"/>
    </row>
    <row r="253" spans="19:19" ht="13">
      <c r="S253" s="25"/>
    </row>
    <row r="254" spans="19:19" ht="13">
      <c r="S254" s="25"/>
    </row>
    <row r="255" spans="19:19" ht="13">
      <c r="S255" s="25"/>
    </row>
    <row r="256" spans="19:19" ht="13">
      <c r="S256" s="25"/>
    </row>
    <row r="257" spans="19:19" ht="13">
      <c r="S257" s="25"/>
    </row>
    <row r="258" spans="19:19" ht="13">
      <c r="S258" s="25"/>
    </row>
    <row r="259" spans="19:19" ht="13">
      <c r="S259" s="25"/>
    </row>
    <row r="260" spans="19:19" ht="13">
      <c r="S260" s="25"/>
    </row>
    <row r="261" spans="19:19" ht="13">
      <c r="S261" s="25"/>
    </row>
    <row r="262" spans="19:19" ht="13">
      <c r="S262" s="25"/>
    </row>
    <row r="263" spans="19:19" ht="13">
      <c r="S263" s="25"/>
    </row>
    <row r="264" spans="19:19" ht="13">
      <c r="S264" s="25"/>
    </row>
    <row r="265" spans="19:19" ht="13">
      <c r="S265" s="25"/>
    </row>
    <row r="266" spans="19:19" ht="13">
      <c r="S266" s="25"/>
    </row>
    <row r="267" spans="19:19" ht="13">
      <c r="S267" s="25"/>
    </row>
    <row r="268" spans="19:19" ht="13">
      <c r="S268" s="25"/>
    </row>
    <row r="269" spans="19:19" ht="13">
      <c r="S269" s="25"/>
    </row>
    <row r="270" spans="19:19" ht="13">
      <c r="S270" s="25"/>
    </row>
    <row r="271" spans="19:19" ht="13">
      <c r="S271" s="25"/>
    </row>
    <row r="272" spans="19:19" ht="13">
      <c r="S272" s="25"/>
    </row>
    <row r="273" spans="19:19" ht="13">
      <c r="S273" s="25"/>
    </row>
    <row r="274" spans="19:19" ht="13">
      <c r="S274" s="25"/>
    </row>
    <row r="275" spans="19:19" ht="13">
      <c r="S275" s="25"/>
    </row>
    <row r="276" spans="19:19" ht="13">
      <c r="S276" s="25"/>
    </row>
    <row r="277" spans="19:19" ht="13">
      <c r="S277" s="25"/>
    </row>
    <row r="278" spans="19:19" ht="13">
      <c r="S278" s="25"/>
    </row>
    <row r="279" spans="19:19" ht="13">
      <c r="S279" s="25"/>
    </row>
    <row r="280" spans="19:19" ht="13">
      <c r="S280" s="25"/>
    </row>
    <row r="281" spans="19:19" ht="13">
      <c r="S281" s="25"/>
    </row>
    <row r="282" spans="19:19" ht="13">
      <c r="S282" s="25"/>
    </row>
    <row r="283" spans="19:19" ht="13">
      <c r="S283" s="25"/>
    </row>
    <row r="284" spans="19:19" ht="13">
      <c r="S284" s="25"/>
    </row>
    <row r="285" spans="19:19" ht="13">
      <c r="S285" s="25"/>
    </row>
    <row r="286" spans="19:19" ht="13">
      <c r="S286" s="25"/>
    </row>
    <row r="287" spans="19:19" ht="13">
      <c r="S287" s="25"/>
    </row>
    <row r="288" spans="19:19" ht="13">
      <c r="S288" s="25"/>
    </row>
    <row r="289" spans="19:19" ht="13">
      <c r="S289" s="25"/>
    </row>
    <row r="290" spans="19:19" ht="13">
      <c r="S290" s="25"/>
    </row>
    <row r="291" spans="19:19" ht="13">
      <c r="S291" s="25"/>
    </row>
    <row r="292" spans="19:19" ht="13">
      <c r="S292" s="25"/>
    </row>
    <row r="293" spans="19:19" ht="13">
      <c r="S293" s="25"/>
    </row>
    <row r="294" spans="19:19" ht="13">
      <c r="S294" s="25"/>
    </row>
    <row r="295" spans="19:19" ht="13">
      <c r="S295" s="25"/>
    </row>
    <row r="296" spans="19:19" ht="13">
      <c r="S296" s="25"/>
    </row>
    <row r="297" spans="19:19" ht="13">
      <c r="S297" s="25"/>
    </row>
    <row r="298" spans="19:19" ht="13">
      <c r="S298" s="25"/>
    </row>
    <row r="299" spans="19:19" ht="13">
      <c r="S299" s="25"/>
    </row>
    <row r="300" spans="19:19" ht="13">
      <c r="S300" s="25"/>
    </row>
    <row r="301" spans="19:19" ht="13">
      <c r="S301" s="25"/>
    </row>
    <row r="302" spans="19:19" ht="13">
      <c r="S302" s="25"/>
    </row>
    <row r="303" spans="19:19" ht="13">
      <c r="S303" s="25"/>
    </row>
    <row r="304" spans="19:19" ht="13">
      <c r="S304" s="25"/>
    </row>
    <row r="305" spans="19:19" ht="13">
      <c r="S305" s="25"/>
    </row>
    <row r="306" spans="19:19" ht="13">
      <c r="S306" s="25"/>
    </row>
    <row r="307" spans="19:19" ht="13">
      <c r="S307" s="25"/>
    </row>
    <row r="308" spans="19:19" ht="13">
      <c r="S308" s="25"/>
    </row>
    <row r="309" spans="19:19" ht="13">
      <c r="S309" s="25"/>
    </row>
    <row r="310" spans="19:19" ht="13">
      <c r="S310" s="25"/>
    </row>
    <row r="311" spans="19:19" ht="13">
      <c r="S311" s="25"/>
    </row>
    <row r="312" spans="19:19" ht="13">
      <c r="S312" s="25"/>
    </row>
    <row r="313" spans="19:19" ht="13">
      <c r="S313" s="25"/>
    </row>
    <row r="314" spans="19:19" ht="13">
      <c r="S314" s="25"/>
    </row>
    <row r="315" spans="19:19" ht="13">
      <c r="S315" s="25"/>
    </row>
    <row r="316" spans="19:19" ht="13">
      <c r="S316" s="25"/>
    </row>
    <row r="317" spans="19:19" ht="13">
      <c r="S317" s="25"/>
    </row>
    <row r="318" spans="19:19" ht="13">
      <c r="S318" s="25"/>
    </row>
    <row r="319" spans="19:19" ht="13">
      <c r="S319" s="25"/>
    </row>
    <row r="320" spans="19:19" ht="13">
      <c r="S320" s="25"/>
    </row>
    <row r="321" spans="19:19" ht="13">
      <c r="S321" s="25"/>
    </row>
    <row r="322" spans="19:19" ht="13">
      <c r="S322" s="25"/>
    </row>
    <row r="323" spans="19:19" ht="13">
      <c r="S323" s="25"/>
    </row>
    <row r="324" spans="19:19" ht="13">
      <c r="S324" s="25"/>
    </row>
    <row r="325" spans="19:19" ht="13">
      <c r="S325" s="25"/>
    </row>
    <row r="326" spans="19:19" ht="13">
      <c r="S326" s="25"/>
    </row>
    <row r="327" spans="19:19" ht="13">
      <c r="S327" s="25"/>
    </row>
    <row r="328" spans="19:19" ht="13">
      <c r="S328" s="25"/>
    </row>
    <row r="329" spans="19:19" ht="13">
      <c r="S329" s="25"/>
    </row>
    <row r="330" spans="19:19" ht="13">
      <c r="S330" s="25"/>
    </row>
    <row r="331" spans="19:19" ht="13">
      <c r="S331" s="25"/>
    </row>
    <row r="332" spans="19:19" ht="13">
      <c r="S332" s="25"/>
    </row>
    <row r="333" spans="19:19" ht="13">
      <c r="S333" s="25"/>
    </row>
    <row r="334" spans="19:19" ht="13">
      <c r="S334" s="25"/>
    </row>
    <row r="335" spans="19:19" ht="13">
      <c r="S335" s="25"/>
    </row>
    <row r="336" spans="19:19" ht="13">
      <c r="S336" s="25"/>
    </row>
    <row r="337" spans="19:19" ht="13">
      <c r="S337" s="25"/>
    </row>
    <row r="338" spans="19:19" ht="13">
      <c r="S338" s="25"/>
    </row>
    <row r="339" spans="19:19" ht="13">
      <c r="S339" s="25"/>
    </row>
    <row r="340" spans="19:19" ht="13">
      <c r="S340" s="25"/>
    </row>
    <row r="341" spans="19:19" ht="13">
      <c r="S341" s="25"/>
    </row>
    <row r="342" spans="19:19" ht="13">
      <c r="S342" s="25"/>
    </row>
    <row r="343" spans="19:19" ht="13">
      <c r="S343" s="25"/>
    </row>
    <row r="344" spans="19:19" ht="13">
      <c r="S344" s="25"/>
    </row>
    <row r="345" spans="19:19" ht="13">
      <c r="S345" s="25"/>
    </row>
    <row r="346" spans="19:19" ht="13">
      <c r="S346" s="25"/>
    </row>
    <row r="347" spans="19:19" ht="13">
      <c r="S347" s="25"/>
    </row>
    <row r="348" spans="19:19" ht="13">
      <c r="S348" s="25"/>
    </row>
    <row r="349" spans="19:19" ht="13">
      <c r="S349" s="25"/>
    </row>
    <row r="350" spans="19:19" ht="13">
      <c r="S350" s="25"/>
    </row>
    <row r="351" spans="19:19" ht="13">
      <c r="S351" s="25"/>
    </row>
    <row r="352" spans="19:19" ht="13">
      <c r="S352" s="25"/>
    </row>
    <row r="353" spans="19:19" ht="13">
      <c r="S353" s="25"/>
    </row>
    <row r="354" spans="19:19" ht="13">
      <c r="S354" s="25"/>
    </row>
    <row r="355" spans="19:19" ht="13">
      <c r="S355" s="25"/>
    </row>
    <row r="356" spans="19:19" ht="13">
      <c r="S356" s="25"/>
    </row>
    <row r="357" spans="19:19" ht="13">
      <c r="S357" s="25"/>
    </row>
    <row r="358" spans="19:19" ht="13">
      <c r="S358" s="25"/>
    </row>
    <row r="359" spans="19:19" ht="13">
      <c r="S359" s="25"/>
    </row>
    <row r="360" spans="19:19" ht="13">
      <c r="S360" s="25"/>
    </row>
    <row r="361" spans="19:19" ht="13">
      <c r="S361" s="25"/>
    </row>
    <row r="362" spans="19:19" ht="13">
      <c r="S362" s="25"/>
    </row>
    <row r="363" spans="19:19" ht="13">
      <c r="S363" s="25"/>
    </row>
    <row r="364" spans="19:19" ht="13">
      <c r="S364" s="25"/>
    </row>
    <row r="365" spans="19:19" ht="13">
      <c r="S365" s="25"/>
    </row>
    <row r="366" spans="19:19" ht="13">
      <c r="S366" s="25"/>
    </row>
    <row r="367" spans="19:19" ht="13">
      <c r="S367" s="25"/>
    </row>
    <row r="368" spans="19:19" ht="13">
      <c r="S368" s="25"/>
    </row>
    <row r="369" spans="19:19" ht="13">
      <c r="S369" s="25"/>
    </row>
    <row r="370" spans="19:19" ht="13">
      <c r="S370" s="25"/>
    </row>
    <row r="371" spans="19:19" ht="13">
      <c r="S371" s="25"/>
    </row>
    <row r="372" spans="19:19" ht="13">
      <c r="S372" s="25"/>
    </row>
    <row r="373" spans="19:19" ht="13">
      <c r="S373" s="25"/>
    </row>
    <row r="374" spans="19:19" ht="13">
      <c r="S374" s="25"/>
    </row>
    <row r="375" spans="19:19" ht="13">
      <c r="S375" s="25"/>
    </row>
    <row r="376" spans="19:19" ht="13">
      <c r="S376" s="25"/>
    </row>
    <row r="377" spans="19:19" ht="13">
      <c r="S377" s="25"/>
    </row>
    <row r="378" spans="19:19" ht="13">
      <c r="S378" s="25"/>
    </row>
    <row r="379" spans="19:19" ht="13">
      <c r="S379" s="25"/>
    </row>
    <row r="380" spans="19:19" ht="13">
      <c r="S380" s="25"/>
    </row>
    <row r="381" spans="19:19" ht="13">
      <c r="S381" s="25"/>
    </row>
    <row r="382" spans="19:19" ht="13">
      <c r="S382" s="25"/>
    </row>
    <row r="383" spans="19:19" ht="13">
      <c r="S383" s="25"/>
    </row>
    <row r="384" spans="19:19" ht="13">
      <c r="S384" s="25"/>
    </row>
    <row r="385" spans="19:19" ht="13">
      <c r="S385" s="25"/>
    </row>
    <row r="386" spans="19:19" ht="13">
      <c r="S386" s="25"/>
    </row>
    <row r="387" spans="19:19" ht="13">
      <c r="S387" s="25"/>
    </row>
    <row r="388" spans="19:19" ht="13">
      <c r="S388" s="25"/>
    </row>
    <row r="389" spans="19:19" ht="13">
      <c r="S389" s="25"/>
    </row>
    <row r="390" spans="19:19" ht="13">
      <c r="S390" s="25"/>
    </row>
    <row r="391" spans="19:19" ht="13">
      <c r="S391" s="25"/>
    </row>
    <row r="392" spans="19:19" ht="13">
      <c r="S392" s="25"/>
    </row>
    <row r="393" spans="19:19" ht="13">
      <c r="S393" s="25"/>
    </row>
    <row r="394" spans="19:19" ht="13">
      <c r="S394" s="25"/>
    </row>
    <row r="395" spans="19:19" ht="13">
      <c r="S395" s="25"/>
    </row>
    <row r="396" spans="19:19" ht="13">
      <c r="S396" s="25"/>
    </row>
    <row r="397" spans="19:19" ht="13">
      <c r="S397" s="25"/>
    </row>
    <row r="398" spans="19:19" ht="13">
      <c r="S398" s="25"/>
    </row>
    <row r="399" spans="19:19" ht="13">
      <c r="S399" s="25"/>
    </row>
    <row r="400" spans="19:19" ht="13">
      <c r="S400" s="25"/>
    </row>
    <row r="401" spans="19:19" ht="13">
      <c r="S401" s="25"/>
    </row>
    <row r="402" spans="19:19" ht="13">
      <c r="S402" s="25"/>
    </row>
    <row r="403" spans="19:19" ht="13">
      <c r="S403" s="25"/>
    </row>
    <row r="404" spans="19:19" ht="13">
      <c r="S404" s="25"/>
    </row>
    <row r="405" spans="19:19" ht="13">
      <c r="S405" s="25"/>
    </row>
    <row r="406" spans="19:19" ht="13">
      <c r="S406" s="25"/>
    </row>
    <row r="407" spans="19:19" ht="13">
      <c r="S407" s="25"/>
    </row>
    <row r="408" spans="19:19" ht="13">
      <c r="S408" s="25"/>
    </row>
    <row r="409" spans="19:19" ht="13">
      <c r="S409" s="25"/>
    </row>
    <row r="410" spans="19:19" ht="13">
      <c r="S410" s="25"/>
    </row>
    <row r="411" spans="19:19" ht="13">
      <c r="S411" s="25"/>
    </row>
    <row r="412" spans="19:19" ht="13">
      <c r="S412" s="25"/>
    </row>
    <row r="413" spans="19:19" ht="13">
      <c r="S413" s="25"/>
    </row>
    <row r="414" spans="19:19" ht="13">
      <c r="S414" s="25"/>
    </row>
    <row r="415" spans="19:19" ht="13">
      <c r="S415" s="25"/>
    </row>
    <row r="416" spans="19:19" ht="13">
      <c r="S416" s="25"/>
    </row>
    <row r="417" spans="19:19" ht="13">
      <c r="S417" s="25"/>
    </row>
    <row r="418" spans="19:19" ht="13">
      <c r="S418" s="25"/>
    </row>
    <row r="419" spans="19:19" ht="13">
      <c r="S419" s="25"/>
    </row>
    <row r="420" spans="19:19" ht="13">
      <c r="S420" s="25"/>
    </row>
    <row r="421" spans="19:19" ht="13">
      <c r="S421" s="25"/>
    </row>
    <row r="422" spans="19:19" ht="13">
      <c r="S422" s="25"/>
    </row>
    <row r="423" spans="19:19" ht="13">
      <c r="S423" s="25"/>
    </row>
    <row r="424" spans="19:19" ht="13">
      <c r="S424" s="25"/>
    </row>
    <row r="425" spans="19:19" ht="13">
      <c r="S425" s="25"/>
    </row>
    <row r="426" spans="19:19" ht="13">
      <c r="S426" s="25"/>
    </row>
    <row r="427" spans="19:19" ht="13">
      <c r="S427" s="25"/>
    </row>
    <row r="428" spans="19:19" ht="13">
      <c r="S428" s="25"/>
    </row>
    <row r="429" spans="19:19" ht="13">
      <c r="S429" s="25"/>
    </row>
    <row r="430" spans="19:19" ht="13">
      <c r="S430" s="25"/>
    </row>
    <row r="431" spans="19:19" ht="13">
      <c r="S431" s="25"/>
    </row>
    <row r="432" spans="19:19" ht="13">
      <c r="S432" s="25"/>
    </row>
    <row r="433" spans="19:19" ht="13">
      <c r="S433" s="25"/>
    </row>
    <row r="434" spans="19:19" ht="13">
      <c r="S434" s="25"/>
    </row>
    <row r="435" spans="19:19" ht="13">
      <c r="S435" s="25"/>
    </row>
    <row r="436" spans="19:19" ht="13">
      <c r="S436" s="25"/>
    </row>
    <row r="437" spans="19:19" ht="13">
      <c r="S437" s="25"/>
    </row>
    <row r="438" spans="19:19" ht="13">
      <c r="S438" s="25"/>
    </row>
    <row r="439" spans="19:19" ht="13">
      <c r="S439" s="25"/>
    </row>
    <row r="440" spans="19:19" ht="13">
      <c r="S440" s="25"/>
    </row>
    <row r="441" spans="19:19" ht="13">
      <c r="S441" s="25"/>
    </row>
    <row r="442" spans="19:19" ht="13">
      <c r="S442" s="25"/>
    </row>
    <row r="443" spans="19:19" ht="13">
      <c r="S443" s="25"/>
    </row>
    <row r="444" spans="19:19" ht="13">
      <c r="S444" s="25"/>
    </row>
    <row r="445" spans="19:19" ht="13">
      <c r="S445" s="25"/>
    </row>
    <row r="446" spans="19:19" ht="13">
      <c r="S446" s="25"/>
    </row>
    <row r="447" spans="19:19" ht="13">
      <c r="S447" s="25"/>
    </row>
    <row r="448" spans="19:19" ht="13">
      <c r="S448" s="25"/>
    </row>
    <row r="449" spans="19:19" ht="13">
      <c r="S449" s="25"/>
    </row>
    <row r="450" spans="19:19" ht="13">
      <c r="S450" s="25"/>
    </row>
    <row r="451" spans="19:19" ht="13">
      <c r="S451" s="25"/>
    </row>
    <row r="452" spans="19:19" ht="13">
      <c r="S452" s="25"/>
    </row>
    <row r="453" spans="19:19" ht="13">
      <c r="S453" s="25"/>
    </row>
    <row r="454" spans="19:19" ht="13">
      <c r="S454" s="25"/>
    </row>
    <row r="455" spans="19:19" ht="13">
      <c r="S455" s="25"/>
    </row>
    <row r="456" spans="19:19" ht="13">
      <c r="S456" s="25"/>
    </row>
    <row r="457" spans="19:19" ht="13">
      <c r="S457" s="25"/>
    </row>
    <row r="458" spans="19:19" ht="13">
      <c r="S458" s="25"/>
    </row>
    <row r="459" spans="19:19" ht="13">
      <c r="S459" s="25"/>
    </row>
    <row r="460" spans="19:19" ht="13">
      <c r="S460" s="25"/>
    </row>
    <row r="461" spans="19:19" ht="13">
      <c r="S461" s="25"/>
    </row>
    <row r="462" spans="19:19" ht="13">
      <c r="S462" s="25"/>
    </row>
    <row r="463" spans="19:19" ht="13">
      <c r="S463" s="25"/>
    </row>
    <row r="464" spans="19:19" ht="13">
      <c r="S464" s="25"/>
    </row>
    <row r="465" spans="19:19" ht="13">
      <c r="S465" s="25"/>
    </row>
    <row r="466" spans="19:19" ht="13">
      <c r="S466" s="25"/>
    </row>
    <row r="467" spans="19:19" ht="13">
      <c r="S467" s="25"/>
    </row>
    <row r="468" spans="19:19" ht="13">
      <c r="S468" s="25"/>
    </row>
    <row r="469" spans="19:19" ht="13">
      <c r="S469" s="25"/>
    </row>
    <row r="470" spans="19:19" ht="13">
      <c r="S470" s="25"/>
    </row>
    <row r="471" spans="19:19" ht="13">
      <c r="S471" s="25"/>
    </row>
    <row r="472" spans="19:19" ht="13">
      <c r="S472" s="25"/>
    </row>
    <row r="473" spans="19:19" ht="13">
      <c r="S473" s="25"/>
    </row>
    <row r="474" spans="19:19" ht="13">
      <c r="S474" s="25"/>
    </row>
    <row r="475" spans="19:19" ht="13">
      <c r="S475" s="25"/>
    </row>
    <row r="476" spans="19:19" ht="13">
      <c r="S476" s="25"/>
    </row>
    <row r="477" spans="19:19" ht="13">
      <c r="S477" s="25"/>
    </row>
    <row r="478" spans="19:19" ht="13">
      <c r="S478" s="25"/>
    </row>
    <row r="479" spans="19:19" ht="13">
      <c r="S479" s="25"/>
    </row>
    <row r="480" spans="19:19" ht="13">
      <c r="S480" s="25"/>
    </row>
    <row r="481" spans="19:19" ht="13">
      <c r="S481" s="25"/>
    </row>
    <row r="482" spans="19:19" ht="13">
      <c r="S482" s="25"/>
    </row>
    <row r="483" spans="19:19" ht="13">
      <c r="S483" s="25"/>
    </row>
    <row r="484" spans="19:19" ht="13">
      <c r="S484" s="25"/>
    </row>
    <row r="485" spans="19:19" ht="13">
      <c r="S485" s="25"/>
    </row>
    <row r="486" spans="19:19" ht="13">
      <c r="S486" s="25"/>
    </row>
    <row r="487" spans="19:19" ht="13">
      <c r="S487" s="25"/>
    </row>
    <row r="488" spans="19:19" ht="13">
      <c r="S488" s="25"/>
    </row>
    <row r="489" spans="19:19" ht="13">
      <c r="S489" s="25"/>
    </row>
    <row r="490" spans="19:19" ht="13">
      <c r="S490" s="25"/>
    </row>
    <row r="491" spans="19:19" ht="13">
      <c r="S491" s="25"/>
    </row>
    <row r="492" spans="19:19" ht="13">
      <c r="S492" s="25"/>
    </row>
    <row r="493" spans="19:19" ht="13">
      <c r="S493" s="25"/>
    </row>
    <row r="494" spans="19:19" ht="13">
      <c r="S494" s="25"/>
    </row>
    <row r="495" spans="19:19" ht="13">
      <c r="S495" s="25"/>
    </row>
    <row r="496" spans="19:19" ht="13">
      <c r="S496" s="25"/>
    </row>
    <row r="497" spans="19:19" ht="13">
      <c r="S497" s="25"/>
    </row>
    <row r="498" spans="19:19" ht="13">
      <c r="S498" s="25"/>
    </row>
    <row r="499" spans="19:19" ht="13">
      <c r="S499" s="25"/>
    </row>
    <row r="500" spans="19:19" ht="13">
      <c r="S500" s="25"/>
    </row>
    <row r="501" spans="19:19" ht="13">
      <c r="S501" s="25"/>
    </row>
    <row r="502" spans="19:19" ht="13">
      <c r="S502" s="25"/>
    </row>
    <row r="503" spans="19:19" ht="13">
      <c r="S503" s="25"/>
    </row>
    <row r="504" spans="19:19" ht="13">
      <c r="S504" s="25"/>
    </row>
    <row r="505" spans="19:19" ht="13">
      <c r="S505" s="25"/>
    </row>
    <row r="506" spans="19:19" ht="13">
      <c r="S506" s="25"/>
    </row>
    <row r="507" spans="19:19" ht="13">
      <c r="S507" s="25"/>
    </row>
    <row r="508" spans="19:19" ht="13">
      <c r="S508" s="25"/>
    </row>
    <row r="509" spans="19:19" ht="13">
      <c r="S509" s="25"/>
    </row>
    <row r="510" spans="19:19" ht="13">
      <c r="S510" s="25"/>
    </row>
    <row r="511" spans="19:19" ht="13">
      <c r="S511" s="25"/>
    </row>
    <row r="512" spans="19:19" ht="13">
      <c r="S512" s="25"/>
    </row>
    <row r="513" spans="19:19" ht="13">
      <c r="S513" s="25"/>
    </row>
    <row r="514" spans="19:19" ht="13">
      <c r="S514" s="25"/>
    </row>
    <row r="515" spans="19:19" ht="13">
      <c r="S515" s="25"/>
    </row>
    <row r="516" spans="19:19" ht="13">
      <c r="S516" s="25"/>
    </row>
    <row r="517" spans="19:19" ht="13">
      <c r="S517" s="25"/>
    </row>
    <row r="518" spans="19:19" ht="13">
      <c r="S518" s="25"/>
    </row>
    <row r="519" spans="19:19" ht="13">
      <c r="S519" s="25"/>
    </row>
    <row r="520" spans="19:19" ht="13">
      <c r="S520" s="25"/>
    </row>
    <row r="521" spans="19:19" ht="13">
      <c r="S521" s="25"/>
    </row>
    <row r="522" spans="19:19" ht="13">
      <c r="S522" s="25"/>
    </row>
    <row r="523" spans="19:19" ht="13">
      <c r="S523" s="25"/>
    </row>
    <row r="524" spans="19:19" ht="13">
      <c r="S524" s="25"/>
    </row>
    <row r="525" spans="19:19" ht="13">
      <c r="S525" s="25"/>
    </row>
    <row r="526" spans="19:19" ht="13">
      <c r="S526" s="25"/>
    </row>
    <row r="527" spans="19:19" ht="13">
      <c r="S527" s="25"/>
    </row>
    <row r="528" spans="19:19" ht="13">
      <c r="S528" s="25"/>
    </row>
    <row r="529" spans="19:19" ht="13">
      <c r="S529" s="25"/>
    </row>
    <row r="530" spans="19:19" ht="13">
      <c r="S530" s="25"/>
    </row>
    <row r="531" spans="19:19" ht="13">
      <c r="S531" s="25"/>
    </row>
    <row r="532" spans="19:19" ht="13">
      <c r="S532" s="25"/>
    </row>
    <row r="533" spans="19:19" ht="13">
      <c r="S533" s="25"/>
    </row>
    <row r="534" spans="19:19" ht="13">
      <c r="S534" s="25"/>
    </row>
    <row r="535" spans="19:19" ht="13">
      <c r="S535" s="25"/>
    </row>
    <row r="536" spans="19:19" ht="13">
      <c r="S536" s="25"/>
    </row>
    <row r="537" spans="19:19" ht="13">
      <c r="S537" s="25"/>
    </row>
    <row r="538" spans="19:19" ht="13">
      <c r="S538" s="25"/>
    </row>
    <row r="539" spans="19:19" ht="13">
      <c r="S539" s="25"/>
    </row>
    <row r="540" spans="19:19" ht="13">
      <c r="S540" s="25"/>
    </row>
    <row r="541" spans="19:19" ht="13">
      <c r="S541" s="25"/>
    </row>
    <row r="542" spans="19:19" ht="13">
      <c r="S542" s="25"/>
    </row>
    <row r="543" spans="19:19" ht="13">
      <c r="S543" s="25"/>
    </row>
    <row r="544" spans="19:19" ht="13">
      <c r="S544" s="25"/>
    </row>
    <row r="545" spans="19:19" ht="13">
      <c r="S545" s="25"/>
    </row>
    <row r="546" spans="19:19" ht="13">
      <c r="S546" s="25"/>
    </row>
    <row r="547" spans="19:19" ht="13">
      <c r="S547" s="25"/>
    </row>
    <row r="548" spans="19:19" ht="13">
      <c r="S548" s="25"/>
    </row>
    <row r="549" spans="19:19" ht="13">
      <c r="S549" s="25"/>
    </row>
    <row r="550" spans="19:19" ht="13">
      <c r="S550" s="25"/>
    </row>
    <row r="551" spans="19:19" ht="13">
      <c r="S551" s="25"/>
    </row>
    <row r="552" spans="19:19" ht="13">
      <c r="S552" s="25"/>
    </row>
    <row r="553" spans="19:19" ht="13">
      <c r="S553" s="25"/>
    </row>
    <row r="554" spans="19:19" ht="13">
      <c r="S554" s="25"/>
    </row>
    <row r="555" spans="19:19" ht="13">
      <c r="S555" s="25"/>
    </row>
    <row r="556" spans="19:19" ht="13">
      <c r="S556" s="25"/>
    </row>
    <row r="557" spans="19:19" ht="13">
      <c r="S557" s="25"/>
    </row>
    <row r="558" spans="19:19" ht="13">
      <c r="S558" s="25"/>
    </row>
    <row r="559" spans="19:19" ht="13">
      <c r="S559" s="25"/>
    </row>
    <row r="560" spans="19:19" ht="13">
      <c r="S560" s="25"/>
    </row>
    <row r="561" spans="19:19" ht="13">
      <c r="S561" s="25"/>
    </row>
    <row r="562" spans="19:19" ht="13">
      <c r="S562" s="25"/>
    </row>
    <row r="563" spans="19:19" ht="13">
      <c r="S563" s="25"/>
    </row>
    <row r="564" spans="19:19" ht="13">
      <c r="S564" s="25"/>
    </row>
    <row r="565" spans="19:19" ht="13">
      <c r="S565" s="25"/>
    </row>
    <row r="566" spans="19:19" ht="13">
      <c r="S566" s="25"/>
    </row>
    <row r="567" spans="19:19" ht="13">
      <c r="S567" s="25"/>
    </row>
    <row r="568" spans="19:19" ht="13">
      <c r="S568" s="25"/>
    </row>
    <row r="569" spans="19:19" ht="13">
      <c r="S569" s="25"/>
    </row>
    <row r="570" spans="19:19" ht="13">
      <c r="S570" s="25"/>
    </row>
    <row r="571" spans="19:19" ht="13">
      <c r="S571" s="25"/>
    </row>
    <row r="572" spans="19:19" ht="13">
      <c r="S572" s="25"/>
    </row>
    <row r="573" spans="19:19" ht="13">
      <c r="S573" s="25"/>
    </row>
    <row r="574" spans="19:19" ht="13">
      <c r="S574" s="25"/>
    </row>
    <row r="575" spans="19:19" ht="13">
      <c r="S575" s="25"/>
    </row>
    <row r="576" spans="19:19" ht="13">
      <c r="S576" s="25"/>
    </row>
    <row r="577" spans="19:19" ht="13">
      <c r="S577" s="25"/>
    </row>
    <row r="578" spans="19:19" ht="13">
      <c r="S578" s="25"/>
    </row>
    <row r="579" spans="19:19" ht="13">
      <c r="S579" s="25"/>
    </row>
    <row r="580" spans="19:19" ht="13">
      <c r="S580" s="25"/>
    </row>
    <row r="581" spans="19:19" ht="13">
      <c r="S581" s="25"/>
    </row>
    <row r="582" spans="19:19" ht="13">
      <c r="S582" s="25"/>
    </row>
    <row r="583" spans="19:19" ht="13">
      <c r="S583" s="25"/>
    </row>
    <row r="584" spans="19:19" ht="13">
      <c r="S584" s="25"/>
    </row>
    <row r="585" spans="19:19" ht="13">
      <c r="S585" s="25"/>
    </row>
    <row r="586" spans="19:19" ht="13">
      <c r="S586" s="25"/>
    </row>
    <row r="587" spans="19:19" ht="13">
      <c r="S587" s="25"/>
    </row>
    <row r="588" spans="19:19" ht="13">
      <c r="S588" s="25"/>
    </row>
    <row r="589" spans="19:19" ht="13">
      <c r="S589" s="25"/>
    </row>
    <row r="590" spans="19:19" ht="13">
      <c r="S590" s="25"/>
    </row>
    <row r="591" spans="19:19" ht="13">
      <c r="S591" s="25"/>
    </row>
    <row r="592" spans="19:19" ht="13">
      <c r="S592" s="25"/>
    </row>
    <row r="593" spans="19:19" ht="13">
      <c r="S593" s="25"/>
    </row>
    <row r="594" spans="19:19" ht="13">
      <c r="S594" s="25"/>
    </row>
    <row r="595" spans="19:19" ht="13">
      <c r="S595" s="25"/>
    </row>
    <row r="596" spans="19:19" ht="13">
      <c r="S596" s="25"/>
    </row>
    <row r="597" spans="19:19" ht="13">
      <c r="S597" s="25"/>
    </row>
    <row r="598" spans="19:19" ht="13">
      <c r="S598" s="25"/>
    </row>
    <row r="599" spans="19:19" ht="13">
      <c r="S599" s="25"/>
    </row>
    <row r="600" spans="19:19" ht="13">
      <c r="S600" s="25"/>
    </row>
    <row r="601" spans="19:19" ht="13">
      <c r="S601" s="25"/>
    </row>
    <row r="602" spans="19:19" ht="13">
      <c r="S602" s="25"/>
    </row>
    <row r="603" spans="19:19" ht="13">
      <c r="S603" s="25"/>
    </row>
    <row r="604" spans="19:19" ht="13">
      <c r="S604" s="25"/>
    </row>
    <row r="605" spans="19:19" ht="13">
      <c r="S605" s="25"/>
    </row>
    <row r="606" spans="19:19" ht="13">
      <c r="S606" s="25"/>
    </row>
    <row r="607" spans="19:19" ht="13">
      <c r="S607" s="25"/>
    </row>
    <row r="608" spans="19:19" ht="13">
      <c r="S608" s="25"/>
    </row>
    <row r="609" spans="19:19" ht="13">
      <c r="S609" s="25"/>
    </row>
    <row r="610" spans="19:19" ht="13">
      <c r="S610" s="25"/>
    </row>
    <row r="611" spans="19:19" ht="13">
      <c r="S611" s="25"/>
    </row>
    <row r="612" spans="19:19" ht="13">
      <c r="S612" s="25"/>
    </row>
    <row r="613" spans="19:19" ht="13">
      <c r="S613" s="25"/>
    </row>
    <row r="614" spans="19:19" ht="13">
      <c r="S614" s="25"/>
    </row>
    <row r="615" spans="19:19" ht="13">
      <c r="S615" s="25"/>
    </row>
    <row r="616" spans="19:19" ht="13">
      <c r="S616" s="25"/>
    </row>
    <row r="617" spans="19:19" ht="13">
      <c r="S617" s="25"/>
    </row>
    <row r="618" spans="19:19" ht="13">
      <c r="S618" s="25"/>
    </row>
    <row r="619" spans="19:19" ht="13">
      <c r="S619" s="25"/>
    </row>
    <row r="620" spans="19:19" ht="13">
      <c r="S620" s="25"/>
    </row>
    <row r="621" spans="19:19" ht="13">
      <c r="S621" s="25"/>
    </row>
    <row r="622" spans="19:19" ht="13">
      <c r="S622" s="25"/>
    </row>
    <row r="623" spans="19:19" ht="13">
      <c r="S623" s="25"/>
    </row>
    <row r="624" spans="19:19" ht="13">
      <c r="S624" s="25"/>
    </row>
    <row r="625" spans="19:19" ht="13">
      <c r="S625" s="25"/>
    </row>
    <row r="626" spans="19:19" ht="13">
      <c r="S626" s="25"/>
    </row>
    <row r="627" spans="19:19" ht="13">
      <c r="S627" s="25"/>
    </row>
    <row r="628" spans="19:19" ht="13">
      <c r="S628" s="25"/>
    </row>
    <row r="629" spans="19:19" ht="13">
      <c r="S629" s="25"/>
    </row>
    <row r="630" spans="19:19" ht="13">
      <c r="S630" s="25"/>
    </row>
    <row r="631" spans="19:19" ht="13">
      <c r="S631" s="25"/>
    </row>
    <row r="632" spans="19:19" ht="13">
      <c r="S632" s="25"/>
    </row>
    <row r="633" spans="19:19" ht="13">
      <c r="S633" s="25"/>
    </row>
    <row r="634" spans="19:19" ht="13">
      <c r="S634" s="25"/>
    </row>
    <row r="635" spans="19:19" ht="13">
      <c r="S635" s="25"/>
    </row>
    <row r="636" spans="19:19" ht="13">
      <c r="S636" s="25"/>
    </row>
    <row r="637" spans="19:19" ht="13">
      <c r="S637" s="25"/>
    </row>
    <row r="638" spans="19:19" ht="13">
      <c r="S638" s="25"/>
    </row>
    <row r="639" spans="19:19" ht="13">
      <c r="S639" s="25"/>
    </row>
    <row r="640" spans="19:19" ht="13">
      <c r="S640" s="25"/>
    </row>
    <row r="641" spans="19:19" ht="13">
      <c r="S641" s="25"/>
    </row>
    <row r="642" spans="19:19" ht="13">
      <c r="S642" s="25"/>
    </row>
    <row r="643" spans="19:19" ht="13">
      <c r="S643" s="25"/>
    </row>
    <row r="644" spans="19:19" ht="13">
      <c r="S644" s="25"/>
    </row>
    <row r="645" spans="19:19" ht="13">
      <c r="S645" s="25"/>
    </row>
    <row r="646" spans="19:19" ht="13">
      <c r="S646" s="25"/>
    </row>
    <row r="647" spans="19:19" ht="13">
      <c r="S647" s="25"/>
    </row>
    <row r="648" spans="19:19" ht="13">
      <c r="S648" s="25"/>
    </row>
    <row r="649" spans="19:19" ht="13">
      <c r="S649" s="25"/>
    </row>
    <row r="650" spans="19:19" ht="13">
      <c r="S650" s="25"/>
    </row>
    <row r="651" spans="19:19" ht="13">
      <c r="S651" s="25"/>
    </row>
    <row r="652" spans="19:19" ht="13">
      <c r="S652" s="25"/>
    </row>
    <row r="653" spans="19:19" ht="13">
      <c r="S653" s="25"/>
    </row>
    <row r="654" spans="19:19" ht="13">
      <c r="S654" s="25"/>
    </row>
    <row r="655" spans="19:19" ht="13">
      <c r="S655" s="25"/>
    </row>
    <row r="656" spans="19:19" ht="13">
      <c r="S656" s="25"/>
    </row>
    <row r="657" spans="19:19" ht="13">
      <c r="S657" s="25"/>
    </row>
    <row r="658" spans="19:19" ht="13">
      <c r="S658" s="25"/>
    </row>
    <row r="659" spans="19:19" ht="13">
      <c r="S659" s="25"/>
    </row>
    <row r="660" spans="19:19" ht="13">
      <c r="S660" s="25"/>
    </row>
    <row r="661" spans="19:19" ht="13">
      <c r="S661" s="25"/>
    </row>
    <row r="662" spans="19:19" ht="13">
      <c r="S662" s="25"/>
    </row>
    <row r="663" spans="19:19" ht="13">
      <c r="S663" s="25"/>
    </row>
    <row r="664" spans="19:19" ht="13">
      <c r="S664" s="25"/>
    </row>
    <row r="665" spans="19:19" ht="13">
      <c r="S665" s="25"/>
    </row>
    <row r="666" spans="19:19" ht="13">
      <c r="S666" s="25"/>
    </row>
    <row r="667" spans="19:19" ht="13">
      <c r="S667" s="25"/>
    </row>
    <row r="668" spans="19:19" ht="13">
      <c r="S668" s="25"/>
    </row>
    <row r="669" spans="19:19" ht="13">
      <c r="S669" s="25"/>
    </row>
    <row r="670" spans="19:19" ht="13">
      <c r="S670" s="25"/>
    </row>
    <row r="671" spans="19:19" ht="13">
      <c r="S671" s="25"/>
    </row>
    <row r="672" spans="19:19" ht="13">
      <c r="S672" s="25"/>
    </row>
    <row r="673" spans="19:19" ht="13">
      <c r="S673" s="25"/>
    </row>
    <row r="674" spans="19:19" ht="13">
      <c r="S674" s="25"/>
    </row>
    <row r="675" spans="19:19" ht="13">
      <c r="S675" s="25"/>
    </row>
    <row r="676" spans="19:19" ht="13">
      <c r="S676" s="25"/>
    </row>
    <row r="677" spans="19:19" ht="13">
      <c r="S677" s="25"/>
    </row>
    <row r="678" spans="19:19" ht="13">
      <c r="S678" s="25"/>
    </row>
    <row r="679" spans="19:19" ht="13">
      <c r="S679" s="25"/>
    </row>
    <row r="680" spans="19:19" ht="13">
      <c r="S680" s="25"/>
    </row>
    <row r="681" spans="19:19" ht="13">
      <c r="S681" s="25"/>
    </row>
    <row r="682" spans="19:19" ht="13">
      <c r="S682" s="25"/>
    </row>
    <row r="683" spans="19:19" ht="13">
      <c r="S683" s="25"/>
    </row>
    <row r="684" spans="19:19" ht="13">
      <c r="S684" s="25"/>
    </row>
    <row r="685" spans="19:19" ht="13">
      <c r="S685" s="25"/>
    </row>
    <row r="686" spans="19:19" ht="13">
      <c r="S686" s="25"/>
    </row>
    <row r="687" spans="19:19" ht="13">
      <c r="S687" s="25"/>
    </row>
    <row r="688" spans="19:19" ht="13">
      <c r="S688" s="25"/>
    </row>
    <row r="689" spans="19:19" ht="13">
      <c r="S689" s="25"/>
    </row>
    <row r="690" spans="19:19" ht="13">
      <c r="S690" s="25"/>
    </row>
    <row r="691" spans="19:19" ht="13">
      <c r="S691" s="25"/>
    </row>
    <row r="692" spans="19:19" ht="13">
      <c r="S692" s="25"/>
    </row>
    <row r="693" spans="19:19" ht="13">
      <c r="S693" s="25"/>
    </row>
    <row r="694" spans="19:19" ht="13">
      <c r="S694" s="25"/>
    </row>
    <row r="695" spans="19:19" ht="13">
      <c r="S695" s="25"/>
    </row>
    <row r="696" spans="19:19" ht="13">
      <c r="S696" s="25"/>
    </row>
    <row r="697" spans="19:19" ht="13">
      <c r="S697" s="25"/>
    </row>
    <row r="698" spans="19:19" ht="13">
      <c r="S698" s="25"/>
    </row>
    <row r="699" spans="19:19" ht="13">
      <c r="S699" s="25"/>
    </row>
    <row r="700" spans="19:19" ht="13">
      <c r="S700" s="25"/>
    </row>
    <row r="701" spans="19:19" ht="13">
      <c r="S701" s="25"/>
    </row>
    <row r="702" spans="19:19" ht="13">
      <c r="S702" s="25"/>
    </row>
    <row r="703" spans="19:19" ht="13">
      <c r="S703" s="25"/>
    </row>
    <row r="704" spans="19:19" ht="13">
      <c r="S704" s="25"/>
    </row>
    <row r="705" spans="19:19" ht="13">
      <c r="S705" s="25"/>
    </row>
    <row r="706" spans="19:19" ht="13">
      <c r="S706" s="25"/>
    </row>
    <row r="707" spans="19:19" ht="13">
      <c r="S707" s="25"/>
    </row>
    <row r="708" spans="19:19" ht="13">
      <c r="S708" s="25"/>
    </row>
    <row r="709" spans="19:19" ht="13">
      <c r="S709" s="25"/>
    </row>
    <row r="710" spans="19:19" ht="13">
      <c r="S710" s="25"/>
    </row>
    <row r="711" spans="19:19" ht="13">
      <c r="S711" s="25"/>
    </row>
    <row r="712" spans="19:19" ht="13">
      <c r="S712" s="25"/>
    </row>
    <row r="713" spans="19:19" ht="13">
      <c r="S713" s="25"/>
    </row>
    <row r="714" spans="19:19" ht="13">
      <c r="S714" s="25"/>
    </row>
    <row r="715" spans="19:19" ht="13">
      <c r="S715" s="25"/>
    </row>
    <row r="716" spans="19:19" ht="13">
      <c r="S716" s="25"/>
    </row>
    <row r="717" spans="19:19" ht="13">
      <c r="S717" s="25"/>
    </row>
    <row r="718" spans="19:19" ht="13">
      <c r="S718" s="25"/>
    </row>
    <row r="719" spans="19:19" ht="13">
      <c r="S719" s="25"/>
    </row>
    <row r="720" spans="19:19" ht="13">
      <c r="S720" s="25"/>
    </row>
    <row r="721" spans="19:19" ht="13">
      <c r="S721" s="25"/>
    </row>
    <row r="722" spans="19:19" ht="13">
      <c r="S722" s="25"/>
    </row>
    <row r="723" spans="19:19" ht="13">
      <c r="S723" s="25"/>
    </row>
    <row r="724" spans="19:19" ht="13">
      <c r="S724" s="25"/>
    </row>
    <row r="725" spans="19:19" ht="13">
      <c r="S725" s="25"/>
    </row>
    <row r="726" spans="19:19" ht="13">
      <c r="S726" s="25"/>
    </row>
    <row r="727" spans="19:19" ht="13">
      <c r="S727" s="25"/>
    </row>
    <row r="728" spans="19:19" ht="13">
      <c r="S728" s="25"/>
    </row>
    <row r="729" spans="19:19" ht="13">
      <c r="S729" s="25"/>
    </row>
    <row r="730" spans="19:19" ht="13">
      <c r="S730" s="25"/>
    </row>
    <row r="731" spans="19:19" ht="13">
      <c r="S731" s="25"/>
    </row>
    <row r="732" spans="19:19" ht="13">
      <c r="S732" s="25"/>
    </row>
    <row r="733" spans="19:19" ht="13">
      <c r="S733" s="25"/>
    </row>
    <row r="734" spans="19:19" ht="13">
      <c r="S734" s="25"/>
    </row>
    <row r="735" spans="19:19" ht="13">
      <c r="S735" s="25"/>
    </row>
    <row r="736" spans="19:19" ht="13">
      <c r="S736" s="25"/>
    </row>
    <row r="737" spans="19:19" ht="13">
      <c r="S737" s="25"/>
    </row>
    <row r="738" spans="19:19" ht="13">
      <c r="S738" s="25"/>
    </row>
    <row r="739" spans="19:19" ht="13">
      <c r="S739" s="25"/>
    </row>
    <row r="740" spans="19:19" ht="13">
      <c r="S740" s="25"/>
    </row>
    <row r="741" spans="19:19" ht="13">
      <c r="S741" s="25"/>
    </row>
    <row r="742" spans="19:19" ht="13">
      <c r="S742" s="25"/>
    </row>
    <row r="743" spans="19:19" ht="13">
      <c r="S743" s="25"/>
    </row>
    <row r="744" spans="19:19" ht="13">
      <c r="S744" s="25"/>
    </row>
    <row r="745" spans="19:19" ht="13">
      <c r="S745" s="25"/>
    </row>
    <row r="746" spans="19:19" ht="13">
      <c r="S746" s="25"/>
    </row>
    <row r="747" spans="19:19" ht="13">
      <c r="S747" s="25"/>
    </row>
    <row r="748" spans="19:19" ht="13">
      <c r="S748" s="25"/>
    </row>
    <row r="749" spans="19:19" ht="13">
      <c r="S749" s="25"/>
    </row>
    <row r="750" spans="19:19" ht="13">
      <c r="S750" s="25"/>
    </row>
    <row r="751" spans="19:19" ht="13">
      <c r="S751" s="25"/>
    </row>
    <row r="752" spans="19:19" ht="13">
      <c r="S752" s="25"/>
    </row>
    <row r="753" spans="19:19" ht="13">
      <c r="S753" s="25"/>
    </row>
    <row r="754" spans="19:19" ht="13">
      <c r="S754" s="25"/>
    </row>
    <row r="755" spans="19:19" ht="13">
      <c r="S755" s="25"/>
    </row>
    <row r="756" spans="19:19" ht="13">
      <c r="S756" s="25"/>
    </row>
    <row r="757" spans="19:19" ht="13">
      <c r="S757" s="25"/>
    </row>
    <row r="758" spans="19:19" ht="13">
      <c r="S758" s="25"/>
    </row>
    <row r="759" spans="19:19" ht="13">
      <c r="S759" s="25"/>
    </row>
    <row r="760" spans="19:19" ht="13">
      <c r="S760" s="25"/>
    </row>
    <row r="761" spans="19:19" ht="13">
      <c r="S761" s="25"/>
    </row>
    <row r="762" spans="19:19" ht="13">
      <c r="S762" s="25"/>
    </row>
    <row r="763" spans="19:19" ht="13">
      <c r="S763" s="25"/>
    </row>
    <row r="764" spans="19:19" ht="13">
      <c r="S764" s="25"/>
    </row>
    <row r="765" spans="19:19" ht="13">
      <c r="S765" s="25"/>
    </row>
    <row r="766" spans="19:19" ht="13">
      <c r="S766" s="25"/>
    </row>
    <row r="767" spans="19:19" ht="13">
      <c r="S767" s="25"/>
    </row>
    <row r="768" spans="19:19" ht="13">
      <c r="S768" s="25"/>
    </row>
    <row r="769" spans="19:19" ht="13">
      <c r="S769" s="25"/>
    </row>
    <row r="770" spans="19:19" ht="13">
      <c r="S770" s="25"/>
    </row>
    <row r="771" spans="19:19" ht="13">
      <c r="S771" s="25"/>
    </row>
    <row r="772" spans="19:19" ht="13">
      <c r="S772" s="25"/>
    </row>
    <row r="773" spans="19:19" ht="13">
      <c r="S773" s="25"/>
    </row>
    <row r="774" spans="19:19" ht="13">
      <c r="S774" s="25"/>
    </row>
    <row r="775" spans="19:19" ht="13">
      <c r="S775" s="25"/>
    </row>
    <row r="776" spans="19:19" ht="13">
      <c r="S776" s="25"/>
    </row>
    <row r="777" spans="19:19" ht="13">
      <c r="S777" s="25"/>
    </row>
    <row r="778" spans="19:19" ht="13">
      <c r="S778" s="25"/>
    </row>
    <row r="779" spans="19:19" ht="13">
      <c r="S779" s="25"/>
    </row>
    <row r="780" spans="19:19" ht="13">
      <c r="S780" s="25"/>
    </row>
    <row r="781" spans="19:19" ht="13">
      <c r="S781" s="25"/>
    </row>
    <row r="782" spans="19:19" ht="13">
      <c r="S782" s="25"/>
    </row>
    <row r="783" spans="19:19" ht="13">
      <c r="S783" s="25"/>
    </row>
    <row r="784" spans="19:19" ht="13">
      <c r="S784" s="25"/>
    </row>
    <row r="785" spans="19:19" ht="13">
      <c r="S785" s="25"/>
    </row>
    <row r="786" spans="19:19" ht="13">
      <c r="S786" s="25"/>
    </row>
    <row r="787" spans="19:19" ht="13">
      <c r="S787" s="25"/>
    </row>
    <row r="788" spans="19:19" ht="13">
      <c r="S788" s="25"/>
    </row>
    <row r="789" spans="19:19" ht="13">
      <c r="S789" s="25"/>
    </row>
    <row r="790" spans="19:19" ht="13">
      <c r="S790" s="25"/>
    </row>
    <row r="791" spans="19:19" ht="13">
      <c r="S791" s="25"/>
    </row>
    <row r="792" spans="19:19" ht="13">
      <c r="S792" s="25"/>
    </row>
    <row r="793" spans="19:19" ht="13">
      <c r="S793" s="25"/>
    </row>
    <row r="794" spans="19:19" ht="13">
      <c r="S794" s="25"/>
    </row>
    <row r="795" spans="19:19" ht="13">
      <c r="S795" s="25"/>
    </row>
    <row r="796" spans="19:19" ht="13">
      <c r="S796" s="25"/>
    </row>
    <row r="797" spans="19:19" ht="13">
      <c r="S797" s="25"/>
    </row>
    <row r="798" spans="19:19" ht="13">
      <c r="S798" s="25"/>
    </row>
    <row r="799" spans="19:19" ht="13">
      <c r="S799" s="25"/>
    </row>
    <row r="800" spans="19:19" ht="13">
      <c r="S800" s="25"/>
    </row>
    <row r="801" spans="19:19" ht="13">
      <c r="S801" s="25"/>
    </row>
    <row r="802" spans="19:19" ht="13">
      <c r="S802" s="25"/>
    </row>
    <row r="803" spans="19:19" ht="13">
      <c r="S803" s="25"/>
    </row>
    <row r="804" spans="19:19" ht="13">
      <c r="S804" s="25"/>
    </row>
    <row r="805" spans="19:19" ht="13">
      <c r="S805" s="25"/>
    </row>
    <row r="806" spans="19:19" ht="13">
      <c r="S806" s="25"/>
    </row>
    <row r="807" spans="19:19" ht="13">
      <c r="S807" s="25"/>
    </row>
    <row r="808" spans="19:19" ht="13">
      <c r="S808" s="25"/>
    </row>
    <row r="809" spans="19:19" ht="13">
      <c r="S809" s="25"/>
    </row>
    <row r="810" spans="19:19" ht="13">
      <c r="S810" s="25"/>
    </row>
    <row r="811" spans="19:19" ht="13">
      <c r="S811" s="25"/>
    </row>
    <row r="812" spans="19:19" ht="13">
      <c r="S812" s="25"/>
    </row>
    <row r="813" spans="19:19" ht="13">
      <c r="S813" s="25"/>
    </row>
    <row r="814" spans="19:19" ht="13">
      <c r="S814" s="25"/>
    </row>
    <row r="815" spans="19:19" ht="13">
      <c r="S815" s="25"/>
    </row>
    <row r="816" spans="19:19" ht="13">
      <c r="S816" s="25"/>
    </row>
    <row r="817" spans="19:19" ht="13">
      <c r="S817" s="25"/>
    </row>
    <row r="818" spans="19:19" ht="13">
      <c r="S818" s="25"/>
    </row>
    <row r="819" spans="19:19" ht="13">
      <c r="S819" s="25"/>
    </row>
    <row r="820" spans="19:19" ht="13">
      <c r="S820" s="25"/>
    </row>
    <row r="821" spans="19:19" ht="13">
      <c r="S821" s="25"/>
    </row>
    <row r="822" spans="19:19" ht="13">
      <c r="S822" s="25"/>
    </row>
    <row r="823" spans="19:19" ht="13">
      <c r="S823" s="25"/>
    </row>
    <row r="824" spans="19:19" ht="13">
      <c r="S824" s="25"/>
    </row>
    <row r="825" spans="19:19" ht="13">
      <c r="S825" s="25"/>
    </row>
    <row r="826" spans="19:19" ht="13">
      <c r="S826" s="25"/>
    </row>
    <row r="827" spans="19:19" ht="13">
      <c r="S827" s="25"/>
    </row>
    <row r="828" spans="19:19" ht="13">
      <c r="S828" s="25"/>
    </row>
    <row r="829" spans="19:19" ht="13">
      <c r="S829" s="25"/>
    </row>
    <row r="830" spans="19:19" ht="13">
      <c r="S830" s="25"/>
    </row>
    <row r="831" spans="19:19" ht="13">
      <c r="S831" s="25"/>
    </row>
    <row r="832" spans="19:19" ht="13">
      <c r="S832" s="25"/>
    </row>
    <row r="833" spans="19:19" ht="13">
      <c r="S833" s="25"/>
    </row>
    <row r="834" spans="19:19" ht="13">
      <c r="S834" s="25"/>
    </row>
    <row r="835" spans="19:19" ht="13">
      <c r="S835" s="25"/>
    </row>
    <row r="836" spans="19:19" ht="13">
      <c r="S836" s="25"/>
    </row>
    <row r="837" spans="19:19" ht="13">
      <c r="S837" s="25"/>
    </row>
    <row r="838" spans="19:19" ht="13">
      <c r="S838" s="25"/>
    </row>
    <row r="839" spans="19:19" ht="13">
      <c r="S839" s="25"/>
    </row>
    <row r="840" spans="19:19" ht="13">
      <c r="S840" s="25"/>
    </row>
    <row r="841" spans="19:19" ht="13">
      <c r="S841" s="25"/>
    </row>
    <row r="842" spans="19:19" ht="13">
      <c r="S842" s="25"/>
    </row>
    <row r="843" spans="19:19" ht="13">
      <c r="S843" s="25"/>
    </row>
    <row r="844" spans="19:19" ht="13">
      <c r="S844" s="25"/>
    </row>
    <row r="845" spans="19:19" ht="13">
      <c r="S845" s="25"/>
    </row>
    <row r="846" spans="19:19" ht="13">
      <c r="S846" s="25"/>
    </row>
    <row r="847" spans="19:19" ht="13">
      <c r="S847" s="25"/>
    </row>
    <row r="848" spans="19:19" ht="13">
      <c r="S848" s="25"/>
    </row>
    <row r="849" spans="19:19" ht="13">
      <c r="S849" s="25"/>
    </row>
    <row r="850" spans="19:19" ht="13">
      <c r="S850" s="25"/>
    </row>
    <row r="851" spans="19:19" ht="13">
      <c r="S851" s="25"/>
    </row>
    <row r="852" spans="19:19" ht="13">
      <c r="S852" s="25"/>
    </row>
    <row r="853" spans="19:19" ht="13">
      <c r="S853" s="25"/>
    </row>
    <row r="854" spans="19:19" ht="13">
      <c r="S854" s="25"/>
    </row>
    <row r="855" spans="19:19" ht="13">
      <c r="S855" s="25"/>
    </row>
    <row r="856" spans="19:19" ht="13">
      <c r="S856" s="25"/>
    </row>
    <row r="857" spans="19:19" ht="13">
      <c r="S857" s="25"/>
    </row>
    <row r="858" spans="19:19" ht="13">
      <c r="S858" s="25"/>
    </row>
    <row r="859" spans="19:19" ht="13">
      <c r="S859" s="25"/>
    </row>
    <row r="860" spans="19:19" ht="13">
      <c r="S860" s="25"/>
    </row>
    <row r="861" spans="19:19" ht="13">
      <c r="S861" s="25"/>
    </row>
    <row r="862" spans="19:19" ht="13">
      <c r="S862" s="25"/>
    </row>
    <row r="863" spans="19:19" ht="13">
      <c r="S863" s="25"/>
    </row>
    <row r="864" spans="19:19" ht="13">
      <c r="S864" s="25"/>
    </row>
    <row r="865" spans="19:19" ht="13">
      <c r="S865" s="25"/>
    </row>
    <row r="866" spans="19:19" ht="13">
      <c r="S866" s="25"/>
    </row>
    <row r="867" spans="19:19" ht="13">
      <c r="S867" s="25"/>
    </row>
    <row r="868" spans="19:19" ht="13">
      <c r="S868" s="25"/>
    </row>
    <row r="869" spans="19:19" ht="13">
      <c r="S869" s="25"/>
    </row>
    <row r="870" spans="19:19" ht="13">
      <c r="S870" s="25"/>
    </row>
    <row r="871" spans="19:19" ht="13">
      <c r="S871" s="25"/>
    </row>
    <row r="872" spans="19:19" ht="13">
      <c r="S872" s="25"/>
    </row>
    <row r="873" spans="19:19" ht="13">
      <c r="S873" s="25"/>
    </row>
    <row r="874" spans="19:19" ht="13">
      <c r="S874" s="25"/>
    </row>
    <row r="875" spans="19:19" ht="13">
      <c r="S875" s="25"/>
    </row>
    <row r="876" spans="19:19" ht="13">
      <c r="S876" s="25"/>
    </row>
    <row r="877" spans="19:19" ht="13">
      <c r="S877" s="25"/>
    </row>
    <row r="878" spans="19:19" ht="13">
      <c r="S878" s="25"/>
    </row>
    <row r="879" spans="19:19" ht="13">
      <c r="S879" s="25"/>
    </row>
    <row r="880" spans="19:19" ht="13">
      <c r="S880" s="25"/>
    </row>
    <row r="881" spans="19:19" ht="13">
      <c r="S881" s="25"/>
    </row>
    <row r="882" spans="19:19" ht="13">
      <c r="S882" s="25"/>
    </row>
    <row r="883" spans="19:19" ht="13">
      <c r="S883" s="25"/>
    </row>
    <row r="884" spans="19:19" ht="13">
      <c r="S884" s="25"/>
    </row>
    <row r="885" spans="19:19" ht="13">
      <c r="S885" s="25"/>
    </row>
    <row r="886" spans="19:19" ht="13">
      <c r="S886" s="25"/>
    </row>
    <row r="887" spans="19:19" ht="13">
      <c r="S887" s="25"/>
    </row>
    <row r="888" spans="19:19" ht="13">
      <c r="S888" s="25"/>
    </row>
    <row r="889" spans="19:19" ht="13">
      <c r="S889" s="25"/>
    </row>
    <row r="890" spans="19:19" ht="13">
      <c r="S890" s="25"/>
    </row>
    <row r="891" spans="19:19" ht="13">
      <c r="S891" s="25"/>
    </row>
    <row r="892" spans="19:19" ht="13">
      <c r="S892" s="25"/>
    </row>
    <row r="893" spans="19:19" ht="13">
      <c r="S893" s="25"/>
    </row>
    <row r="894" spans="19:19" ht="13">
      <c r="S894" s="25"/>
    </row>
    <row r="895" spans="19:19" ht="13">
      <c r="S895" s="25"/>
    </row>
    <row r="896" spans="19:19" ht="13">
      <c r="S896" s="25"/>
    </row>
    <row r="897" spans="19:19" ht="13">
      <c r="S897" s="25"/>
    </row>
    <row r="898" spans="19:19" ht="13">
      <c r="S898" s="25"/>
    </row>
    <row r="899" spans="19:19" ht="13">
      <c r="S899" s="25"/>
    </row>
    <row r="900" spans="19:19" ht="13">
      <c r="S900" s="25"/>
    </row>
    <row r="901" spans="19:19" ht="13">
      <c r="S901" s="25"/>
    </row>
    <row r="902" spans="19:19" ht="13">
      <c r="S902" s="25"/>
    </row>
    <row r="903" spans="19:19" ht="13">
      <c r="S903" s="25"/>
    </row>
    <row r="904" spans="19:19" ht="13">
      <c r="S904" s="25"/>
    </row>
    <row r="905" spans="19:19" ht="13">
      <c r="S905" s="25"/>
    </row>
    <row r="906" spans="19:19" ht="13">
      <c r="S906" s="25"/>
    </row>
    <row r="907" spans="19:19" ht="13">
      <c r="S907" s="25"/>
    </row>
    <row r="908" spans="19:19" ht="13">
      <c r="S908" s="25"/>
    </row>
    <row r="909" spans="19:19" ht="13">
      <c r="S909" s="25"/>
    </row>
    <row r="910" spans="19:19" ht="13">
      <c r="S910" s="25"/>
    </row>
    <row r="911" spans="19:19" ht="13">
      <c r="S911" s="25"/>
    </row>
    <row r="912" spans="19:19" ht="13">
      <c r="S912" s="25"/>
    </row>
    <row r="913" spans="19:19" ht="13">
      <c r="S913" s="25"/>
    </row>
    <row r="914" spans="19:19" ht="13">
      <c r="S914" s="25"/>
    </row>
    <row r="915" spans="19:19" ht="13">
      <c r="S915" s="25"/>
    </row>
    <row r="916" spans="19:19" ht="13">
      <c r="S916" s="25"/>
    </row>
    <row r="917" spans="19:19" ht="13">
      <c r="S917" s="25"/>
    </row>
    <row r="918" spans="19:19" ht="13">
      <c r="S918" s="25"/>
    </row>
    <row r="919" spans="19:19" ht="13">
      <c r="S919" s="25"/>
    </row>
    <row r="920" spans="19:19" ht="13">
      <c r="S920" s="25"/>
    </row>
    <row r="921" spans="19:19" ht="13">
      <c r="S921" s="25"/>
    </row>
    <row r="922" spans="19:19" ht="13">
      <c r="S922" s="25"/>
    </row>
    <row r="923" spans="19:19" ht="13">
      <c r="S923" s="25"/>
    </row>
    <row r="924" spans="19:19" ht="13">
      <c r="S924" s="25"/>
    </row>
    <row r="925" spans="19:19" ht="13">
      <c r="S925" s="25"/>
    </row>
    <row r="926" spans="19:19" ht="13">
      <c r="S926" s="25"/>
    </row>
    <row r="927" spans="19:19" ht="13">
      <c r="S927" s="25"/>
    </row>
    <row r="928" spans="19:19" ht="13">
      <c r="S928" s="25"/>
    </row>
    <row r="929" spans="19:19" ht="13">
      <c r="S929" s="25"/>
    </row>
    <row r="930" spans="19:19" ht="13">
      <c r="S930" s="25"/>
    </row>
    <row r="931" spans="19:19" ht="13">
      <c r="S931" s="25"/>
    </row>
    <row r="932" spans="19:19" ht="13">
      <c r="S932" s="25"/>
    </row>
    <row r="933" spans="19:19" ht="13">
      <c r="S933" s="25"/>
    </row>
    <row r="934" spans="19:19" ht="13">
      <c r="S934" s="25"/>
    </row>
    <row r="935" spans="19:19" ht="13">
      <c r="S935" s="25"/>
    </row>
    <row r="936" spans="19:19" ht="13">
      <c r="S936" s="25"/>
    </row>
    <row r="937" spans="19:19" ht="13">
      <c r="S937" s="25"/>
    </row>
    <row r="938" spans="19:19" ht="13">
      <c r="S938" s="25"/>
    </row>
    <row r="939" spans="19:19" ht="13">
      <c r="S939" s="25"/>
    </row>
    <row r="940" spans="19:19" ht="13">
      <c r="S940" s="25"/>
    </row>
    <row r="941" spans="19:19" ht="13">
      <c r="S941" s="25"/>
    </row>
    <row r="942" spans="19:19" ht="13">
      <c r="S942" s="25"/>
    </row>
    <row r="943" spans="19:19" ht="13">
      <c r="S943" s="25"/>
    </row>
    <row r="944" spans="19:19" ht="13">
      <c r="S944" s="25"/>
    </row>
    <row r="945" spans="19:19" ht="13">
      <c r="S945" s="25"/>
    </row>
    <row r="946" spans="19:19" ht="13">
      <c r="S946" s="25"/>
    </row>
    <row r="947" spans="19:19" ht="13">
      <c r="S947" s="25"/>
    </row>
    <row r="948" spans="19:19" ht="13">
      <c r="S948" s="25"/>
    </row>
    <row r="949" spans="19:19" ht="13">
      <c r="S949" s="25"/>
    </row>
    <row r="950" spans="19:19" ht="13">
      <c r="S950" s="25"/>
    </row>
    <row r="951" spans="19:19" ht="13">
      <c r="S951" s="25"/>
    </row>
    <row r="952" spans="19:19" ht="13">
      <c r="S952" s="25"/>
    </row>
    <row r="953" spans="19:19" ht="13">
      <c r="S953" s="25"/>
    </row>
    <row r="954" spans="19:19" ht="13">
      <c r="S954" s="25"/>
    </row>
    <row r="955" spans="19:19" ht="13">
      <c r="S955" s="25"/>
    </row>
    <row r="956" spans="19:19" ht="13">
      <c r="S956" s="25"/>
    </row>
    <row r="957" spans="19:19" ht="13">
      <c r="S957" s="25"/>
    </row>
    <row r="958" spans="19:19" ht="13">
      <c r="S958" s="25"/>
    </row>
    <row r="959" spans="19:19" ht="13">
      <c r="S959" s="25"/>
    </row>
    <row r="960" spans="19:19" ht="13">
      <c r="S960" s="25"/>
    </row>
    <row r="961" spans="19:19" ht="13">
      <c r="S961" s="25"/>
    </row>
    <row r="962" spans="19:19" ht="13">
      <c r="S962" s="25"/>
    </row>
    <row r="963" spans="19:19" ht="13">
      <c r="S963" s="25"/>
    </row>
    <row r="964" spans="19:19" ht="13">
      <c r="S964" s="25"/>
    </row>
    <row r="965" spans="19:19" ht="13">
      <c r="S965" s="25"/>
    </row>
    <row r="966" spans="19:19" ht="13">
      <c r="S966" s="25"/>
    </row>
    <row r="967" spans="19:19" ht="13">
      <c r="S967" s="25"/>
    </row>
    <row r="968" spans="19:19" ht="13">
      <c r="S968" s="25"/>
    </row>
    <row r="969" spans="19:19" ht="13">
      <c r="S969" s="25"/>
    </row>
    <row r="970" spans="19:19" ht="13">
      <c r="S970" s="25"/>
    </row>
    <row r="971" spans="19:19" ht="13">
      <c r="S971" s="25"/>
    </row>
    <row r="972" spans="19:19" ht="13">
      <c r="S972" s="25"/>
    </row>
    <row r="973" spans="19:19" ht="13">
      <c r="S973" s="25"/>
    </row>
    <row r="974" spans="19:19" ht="13">
      <c r="S974" s="25"/>
    </row>
    <row r="975" spans="19:19" ht="13">
      <c r="S975" s="25"/>
    </row>
    <row r="976" spans="19:19" ht="13">
      <c r="S976" s="25"/>
    </row>
    <row r="977" spans="19:19" ht="13">
      <c r="S977" s="25"/>
    </row>
    <row r="978" spans="19:19" ht="13">
      <c r="S978" s="25"/>
    </row>
    <row r="979" spans="19:19" ht="13">
      <c r="S979" s="25"/>
    </row>
    <row r="980" spans="19:19" ht="13">
      <c r="S980" s="25"/>
    </row>
    <row r="981" spans="19:19" ht="13">
      <c r="S981" s="25"/>
    </row>
    <row r="982" spans="19:19" ht="13">
      <c r="S982" s="25"/>
    </row>
    <row r="983" spans="19:19" ht="13">
      <c r="S983" s="25"/>
    </row>
    <row r="984" spans="19:19" ht="13">
      <c r="S984" s="25"/>
    </row>
    <row r="985" spans="19:19" ht="13">
      <c r="S985" s="25"/>
    </row>
    <row r="986" spans="19:19" ht="13">
      <c r="S986" s="25"/>
    </row>
    <row r="987" spans="19:19" ht="13">
      <c r="S987" s="25"/>
    </row>
    <row r="988" spans="19:19" ht="13">
      <c r="S988" s="25"/>
    </row>
    <row r="989" spans="19:19" ht="13">
      <c r="S989" s="25"/>
    </row>
    <row r="990" spans="19:19" ht="13">
      <c r="S990" s="25"/>
    </row>
    <row r="991" spans="19:19" ht="13">
      <c r="S991" s="25"/>
    </row>
    <row r="992" spans="19:19" ht="13">
      <c r="S992" s="25"/>
    </row>
    <row r="993" spans="19:19" ht="13">
      <c r="S993" s="25"/>
    </row>
    <row r="994" spans="19:19" ht="13">
      <c r="S994" s="25"/>
    </row>
    <row r="995" spans="19:19" ht="13">
      <c r="S995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5" customWidth="1"/>
    <col min="2" max="2" width="24.1640625" customWidth="1"/>
    <col min="3" max="3" width="17.1640625" customWidth="1"/>
    <col min="4" max="4" width="10.6640625" customWidth="1"/>
    <col min="5" max="5" width="11.1640625" customWidth="1"/>
    <col min="6" max="6" width="13.5" customWidth="1"/>
    <col min="7" max="7" width="12.83203125" customWidth="1"/>
    <col min="8" max="8" width="14.1640625" customWidth="1"/>
    <col min="9" max="9" width="11.6640625" customWidth="1"/>
    <col min="10" max="10" width="11.1640625" customWidth="1"/>
    <col min="11" max="11" width="9.6640625" customWidth="1"/>
    <col min="12" max="12" width="11.83203125" customWidth="1"/>
    <col min="13" max="13" width="12.6640625" customWidth="1"/>
    <col min="14" max="14" width="11.83203125" customWidth="1"/>
    <col min="15" max="15" width="12" customWidth="1"/>
    <col min="16" max="16" width="14" customWidth="1"/>
    <col min="17" max="17" width="14.1640625" customWidth="1"/>
    <col min="18" max="18" width="14.3320312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4">
        <v>1</v>
      </c>
      <c r="B2" s="5" t="s">
        <v>18</v>
      </c>
      <c r="C2" s="5" t="s">
        <v>19</v>
      </c>
      <c r="D2" s="6">
        <v>2350</v>
      </c>
      <c r="E2" s="7">
        <f t="shared" ref="E2:E52" si="0">D2*85</f>
        <v>199750</v>
      </c>
      <c r="F2" s="8">
        <v>126801</v>
      </c>
      <c r="G2" s="8">
        <v>6963</v>
      </c>
      <c r="H2" s="8">
        <v>8348</v>
      </c>
      <c r="I2" s="8">
        <v>38907</v>
      </c>
      <c r="J2" s="8">
        <v>7011</v>
      </c>
      <c r="K2" s="7">
        <v>17988</v>
      </c>
      <c r="L2" s="8">
        <v>3759</v>
      </c>
      <c r="M2" s="8">
        <v>22914</v>
      </c>
      <c r="N2" s="8">
        <v>2889</v>
      </c>
      <c r="O2" s="8">
        <v>3261</v>
      </c>
      <c r="P2" s="8">
        <v>3197</v>
      </c>
      <c r="Q2" s="8">
        <v>1280</v>
      </c>
      <c r="R2" s="7">
        <f t="shared" ref="R2:R54" si="1">E2-SUM(F2:Q2)</f>
        <v>-43568</v>
      </c>
    </row>
    <row r="3" spans="1:28" ht="15.75" customHeight="1">
      <c r="A3" s="4">
        <v>2</v>
      </c>
      <c r="B3" s="5"/>
      <c r="C3" s="5" t="s">
        <v>20</v>
      </c>
      <c r="D3" s="6">
        <v>2200</v>
      </c>
      <c r="E3" s="7">
        <f t="shared" si="0"/>
        <v>187000</v>
      </c>
      <c r="F3" s="8">
        <v>51800</v>
      </c>
      <c r="G3" s="8">
        <v>6963</v>
      </c>
      <c r="H3" s="8">
        <v>8348</v>
      </c>
      <c r="I3" s="8">
        <v>38907</v>
      </c>
      <c r="J3" s="8">
        <v>7011</v>
      </c>
      <c r="K3" s="7">
        <v>17988</v>
      </c>
      <c r="L3" s="8">
        <v>3759</v>
      </c>
      <c r="M3" s="8">
        <v>22914</v>
      </c>
      <c r="N3" s="8">
        <v>2889</v>
      </c>
      <c r="O3" s="8">
        <v>3261</v>
      </c>
      <c r="P3" s="8">
        <v>3197</v>
      </c>
      <c r="Q3" s="8">
        <v>1280</v>
      </c>
      <c r="R3" s="7">
        <f t="shared" si="1"/>
        <v>18683</v>
      </c>
    </row>
    <row r="4" spans="1:28" ht="15.75" customHeight="1">
      <c r="A4" s="4">
        <v>3</v>
      </c>
      <c r="B4" s="5" t="s">
        <v>21</v>
      </c>
      <c r="C4" s="5" t="s">
        <v>22</v>
      </c>
      <c r="D4" s="6">
        <v>2000</v>
      </c>
      <c r="E4" s="7">
        <f t="shared" si="0"/>
        <v>170000</v>
      </c>
      <c r="F4" s="8">
        <v>55520</v>
      </c>
      <c r="G4" s="8">
        <v>6963</v>
      </c>
      <c r="H4" s="8">
        <v>8348</v>
      </c>
      <c r="I4" s="8">
        <v>38907</v>
      </c>
      <c r="J4" s="8">
        <v>7011</v>
      </c>
      <c r="K4" s="7">
        <v>17988</v>
      </c>
      <c r="L4" s="8">
        <v>3759</v>
      </c>
      <c r="M4" s="8">
        <v>22914</v>
      </c>
      <c r="N4" s="8">
        <v>2889</v>
      </c>
      <c r="O4" s="8">
        <v>3261</v>
      </c>
      <c r="P4" s="8">
        <v>3197</v>
      </c>
      <c r="Q4" s="8">
        <v>1280</v>
      </c>
      <c r="R4" s="7">
        <f t="shared" si="1"/>
        <v>-2037</v>
      </c>
      <c r="S4" s="9">
        <v>53500</v>
      </c>
    </row>
    <row r="5" spans="1:28" ht="15.75" customHeight="1">
      <c r="A5" s="4">
        <v>4</v>
      </c>
      <c r="B5" s="5"/>
      <c r="C5" s="5" t="s">
        <v>23</v>
      </c>
      <c r="D5" s="6">
        <v>2000</v>
      </c>
      <c r="E5" s="7">
        <f t="shared" si="0"/>
        <v>170000</v>
      </c>
      <c r="F5" s="8">
        <v>35800</v>
      </c>
      <c r="G5" s="8">
        <v>6963</v>
      </c>
      <c r="H5" s="8">
        <v>8348</v>
      </c>
      <c r="I5" s="8">
        <v>38907</v>
      </c>
      <c r="J5" s="8">
        <v>7011</v>
      </c>
      <c r="K5" s="7">
        <v>17988</v>
      </c>
      <c r="L5" s="8">
        <v>3759</v>
      </c>
      <c r="M5" s="8">
        <v>22914</v>
      </c>
      <c r="N5" s="8">
        <v>2889</v>
      </c>
      <c r="O5" s="8">
        <v>3261</v>
      </c>
      <c r="P5" s="8">
        <v>3197</v>
      </c>
      <c r="Q5" s="8">
        <v>1280</v>
      </c>
      <c r="R5" s="7">
        <f t="shared" si="1"/>
        <v>17683</v>
      </c>
    </row>
    <row r="6" spans="1:28" ht="15.75" customHeight="1">
      <c r="A6" s="4">
        <v>5</v>
      </c>
      <c r="B6" s="5"/>
      <c r="C6" s="5" t="s">
        <v>24</v>
      </c>
      <c r="D6" s="6">
        <v>2000</v>
      </c>
      <c r="E6" s="7">
        <f t="shared" si="0"/>
        <v>170000</v>
      </c>
      <c r="F6" s="8">
        <v>53800</v>
      </c>
      <c r="G6" s="8">
        <v>6963</v>
      </c>
      <c r="H6" s="8">
        <v>8348</v>
      </c>
      <c r="I6" s="8">
        <v>38907</v>
      </c>
      <c r="J6" s="8">
        <v>7011</v>
      </c>
      <c r="K6" s="7">
        <v>17988</v>
      </c>
      <c r="L6" s="8">
        <v>3759</v>
      </c>
      <c r="M6" s="8">
        <v>22914</v>
      </c>
      <c r="N6" s="8">
        <v>2889</v>
      </c>
      <c r="O6" s="8">
        <v>3261</v>
      </c>
      <c r="P6" s="8">
        <v>3197</v>
      </c>
      <c r="Q6" s="8">
        <v>1280</v>
      </c>
      <c r="R6" s="7">
        <f t="shared" si="1"/>
        <v>-317</v>
      </c>
    </row>
    <row r="7" spans="1:28" ht="15.75" customHeight="1">
      <c r="A7" s="4">
        <v>6</v>
      </c>
      <c r="B7" s="5" t="s">
        <v>25</v>
      </c>
      <c r="C7" s="5" t="s">
        <v>26</v>
      </c>
      <c r="D7" s="6">
        <v>1650</v>
      </c>
      <c r="E7" s="7">
        <f t="shared" si="0"/>
        <v>140250</v>
      </c>
      <c r="F7" s="8">
        <v>43000</v>
      </c>
      <c r="G7" s="8">
        <v>6963</v>
      </c>
      <c r="H7" s="8">
        <v>8348</v>
      </c>
      <c r="I7" s="8">
        <v>38907</v>
      </c>
      <c r="J7" s="8">
        <v>7011</v>
      </c>
      <c r="K7" s="7">
        <v>17988</v>
      </c>
      <c r="L7" s="8">
        <v>3759</v>
      </c>
      <c r="M7" s="8">
        <v>22914</v>
      </c>
      <c r="N7" s="8">
        <v>2889</v>
      </c>
      <c r="O7" s="8">
        <v>3261</v>
      </c>
      <c r="P7" s="8">
        <v>3197</v>
      </c>
      <c r="Q7" s="8">
        <v>1280</v>
      </c>
      <c r="R7" s="7">
        <f t="shared" si="1"/>
        <v>-19267</v>
      </c>
      <c r="S7" s="9">
        <v>23733</v>
      </c>
    </row>
    <row r="8" spans="1:28" ht="15.75" customHeight="1">
      <c r="A8" s="4">
        <v>7</v>
      </c>
      <c r="B8" s="5" t="s">
        <v>27</v>
      </c>
      <c r="C8" s="5" t="s">
        <v>28</v>
      </c>
      <c r="D8" s="6">
        <v>2275</v>
      </c>
      <c r="E8" s="7">
        <f t="shared" si="0"/>
        <v>193375</v>
      </c>
      <c r="F8" s="10">
        <v>107000</v>
      </c>
      <c r="G8" s="8">
        <v>6963</v>
      </c>
      <c r="H8" s="8">
        <v>8348</v>
      </c>
      <c r="I8" s="8">
        <v>38907</v>
      </c>
      <c r="J8" s="8">
        <v>7011</v>
      </c>
      <c r="K8" s="7">
        <v>17988</v>
      </c>
      <c r="L8" s="8">
        <v>3759</v>
      </c>
      <c r="M8" s="8">
        <v>22914</v>
      </c>
      <c r="N8" s="8">
        <v>2889</v>
      </c>
      <c r="O8" s="8">
        <v>3261</v>
      </c>
      <c r="P8" s="8">
        <v>3197</v>
      </c>
      <c r="Q8" s="8">
        <v>1280</v>
      </c>
      <c r="R8" s="7">
        <f t="shared" si="1"/>
        <v>-30142</v>
      </c>
    </row>
    <row r="9" spans="1:28" ht="15.75" customHeight="1">
      <c r="A9" s="4">
        <v>8</v>
      </c>
      <c r="B9" s="5"/>
      <c r="C9" s="5" t="s">
        <v>29</v>
      </c>
      <c r="D9" s="6">
        <v>2000</v>
      </c>
      <c r="E9" s="7">
        <f t="shared" si="0"/>
        <v>170000</v>
      </c>
      <c r="F9" s="8">
        <v>67531</v>
      </c>
      <c r="G9" s="8">
        <v>6963</v>
      </c>
      <c r="H9" s="8">
        <v>8348</v>
      </c>
      <c r="I9" s="8">
        <v>38907</v>
      </c>
      <c r="J9" s="8">
        <v>7011</v>
      </c>
      <c r="K9" s="7">
        <v>17988</v>
      </c>
      <c r="L9" s="8">
        <v>3759</v>
      </c>
      <c r="M9" s="8">
        <v>22914</v>
      </c>
      <c r="N9" s="8">
        <v>2889</v>
      </c>
      <c r="O9" s="8">
        <v>3261</v>
      </c>
      <c r="P9" s="8">
        <v>3197</v>
      </c>
      <c r="Q9" s="8">
        <v>1280</v>
      </c>
      <c r="R9" s="7">
        <f t="shared" si="1"/>
        <v>-14048</v>
      </c>
    </row>
    <row r="10" spans="1:28" ht="15.75" customHeight="1">
      <c r="A10" s="4">
        <v>9</v>
      </c>
      <c r="B10" s="5"/>
      <c r="C10" s="5" t="s">
        <v>109</v>
      </c>
      <c r="D10" s="6">
        <v>1500</v>
      </c>
      <c r="E10" s="7">
        <f t="shared" si="0"/>
        <v>127500</v>
      </c>
      <c r="F10" s="8">
        <v>39600</v>
      </c>
      <c r="G10" s="8">
        <v>6963</v>
      </c>
      <c r="H10" s="8">
        <v>8348</v>
      </c>
      <c r="I10" s="8">
        <v>38907</v>
      </c>
      <c r="J10" s="8">
        <v>7011</v>
      </c>
      <c r="K10" s="7">
        <v>17988</v>
      </c>
      <c r="L10" s="8">
        <v>3759</v>
      </c>
      <c r="M10" s="8">
        <v>22914</v>
      </c>
      <c r="N10" s="8">
        <v>2889</v>
      </c>
      <c r="O10" s="8">
        <v>3261</v>
      </c>
      <c r="P10" s="8">
        <v>3197</v>
      </c>
      <c r="Q10" s="8">
        <v>1280</v>
      </c>
      <c r="R10" s="7">
        <f t="shared" si="1"/>
        <v>-28617</v>
      </c>
    </row>
    <row r="11" spans="1:28" ht="15.75" customHeight="1">
      <c r="A11" s="4">
        <v>10</v>
      </c>
      <c r="B11" s="5" t="s">
        <v>30</v>
      </c>
      <c r="C11" s="5" t="s">
        <v>31</v>
      </c>
      <c r="D11" s="6">
        <v>1500</v>
      </c>
      <c r="E11" s="7">
        <f t="shared" si="0"/>
        <v>127500</v>
      </c>
      <c r="F11" s="8">
        <v>38904</v>
      </c>
      <c r="G11" s="8">
        <v>6963</v>
      </c>
      <c r="H11" s="8">
        <v>8348</v>
      </c>
      <c r="I11" s="8">
        <v>38907</v>
      </c>
      <c r="J11" s="8">
        <v>7011</v>
      </c>
      <c r="K11" s="7">
        <v>17988</v>
      </c>
      <c r="L11" s="8">
        <v>3759</v>
      </c>
      <c r="M11" s="8">
        <v>22914</v>
      </c>
      <c r="N11" s="8">
        <v>2889</v>
      </c>
      <c r="O11" s="8">
        <v>3261</v>
      </c>
      <c r="P11" s="8">
        <v>3197</v>
      </c>
      <c r="Q11" s="8">
        <v>1280</v>
      </c>
      <c r="R11" s="7">
        <f t="shared" si="1"/>
        <v>-27921</v>
      </c>
    </row>
    <row r="12" spans="1:28" ht="15.75" customHeight="1">
      <c r="A12" s="4">
        <v>11</v>
      </c>
      <c r="B12" s="5"/>
      <c r="C12" s="5" t="s">
        <v>32</v>
      </c>
      <c r="D12" s="6">
        <v>2000</v>
      </c>
      <c r="E12" s="7">
        <f t="shared" si="0"/>
        <v>170000</v>
      </c>
      <c r="F12" s="8">
        <v>38360</v>
      </c>
      <c r="G12" s="8">
        <v>6963</v>
      </c>
      <c r="H12" s="8">
        <v>8348</v>
      </c>
      <c r="I12" s="8">
        <v>38907</v>
      </c>
      <c r="J12" s="8">
        <v>7011</v>
      </c>
      <c r="K12" s="7">
        <v>17988</v>
      </c>
      <c r="L12" s="8">
        <v>3759</v>
      </c>
      <c r="M12" s="8">
        <v>22914</v>
      </c>
      <c r="N12" s="8">
        <v>2889</v>
      </c>
      <c r="O12" s="8">
        <v>3261</v>
      </c>
      <c r="P12" s="8">
        <v>3197</v>
      </c>
      <c r="Q12" s="8">
        <v>1280</v>
      </c>
      <c r="R12" s="7">
        <f t="shared" si="1"/>
        <v>15123</v>
      </c>
    </row>
    <row r="13" spans="1:28" ht="15.75" customHeight="1">
      <c r="A13" s="4">
        <v>12</v>
      </c>
      <c r="B13" s="5"/>
      <c r="C13" s="5" t="s">
        <v>33</v>
      </c>
      <c r="D13" s="6">
        <v>2000</v>
      </c>
      <c r="E13" s="7">
        <f t="shared" si="0"/>
        <v>170000</v>
      </c>
      <c r="F13" s="8">
        <v>44600</v>
      </c>
      <c r="G13" s="8">
        <v>6963</v>
      </c>
      <c r="H13" s="8">
        <v>8348</v>
      </c>
      <c r="I13" s="8">
        <v>38907</v>
      </c>
      <c r="J13" s="8">
        <v>7011</v>
      </c>
      <c r="K13" s="7">
        <v>17988</v>
      </c>
      <c r="L13" s="8">
        <v>3759</v>
      </c>
      <c r="M13" s="8">
        <v>22914</v>
      </c>
      <c r="N13" s="8">
        <v>2889</v>
      </c>
      <c r="O13" s="8">
        <v>3261</v>
      </c>
      <c r="P13" s="8">
        <v>3197</v>
      </c>
      <c r="Q13" s="8">
        <v>1280</v>
      </c>
      <c r="R13" s="7">
        <f t="shared" si="1"/>
        <v>8883</v>
      </c>
    </row>
    <row r="14" spans="1:28" ht="15.75" customHeight="1">
      <c r="A14" s="4">
        <v>13</v>
      </c>
      <c r="B14" s="5" t="s">
        <v>34</v>
      </c>
      <c r="C14" s="5" t="s">
        <v>35</v>
      </c>
      <c r="D14" s="6">
        <v>2200</v>
      </c>
      <c r="E14" s="7">
        <f t="shared" si="0"/>
        <v>187000</v>
      </c>
      <c r="F14" s="10">
        <v>91887</v>
      </c>
      <c r="G14" s="8">
        <v>6963</v>
      </c>
      <c r="H14" s="8">
        <v>8348</v>
      </c>
      <c r="I14" s="8">
        <v>38907</v>
      </c>
      <c r="J14" s="8">
        <v>7011</v>
      </c>
      <c r="K14" s="7">
        <v>17988</v>
      </c>
      <c r="L14" s="8">
        <v>3759</v>
      </c>
      <c r="M14" s="8">
        <v>22914</v>
      </c>
      <c r="N14" s="8">
        <v>2889</v>
      </c>
      <c r="O14" s="8">
        <v>3261</v>
      </c>
      <c r="P14" s="8">
        <v>3197</v>
      </c>
      <c r="Q14" s="8">
        <v>1280</v>
      </c>
      <c r="R14" s="7">
        <f t="shared" si="1"/>
        <v>-21404</v>
      </c>
    </row>
    <row r="15" spans="1:28" ht="15.75" customHeight="1">
      <c r="A15" s="4">
        <v>14</v>
      </c>
      <c r="B15" s="5"/>
      <c r="C15" s="5" t="s">
        <v>36</v>
      </c>
      <c r="D15" s="6">
        <v>2000</v>
      </c>
      <c r="E15" s="7">
        <f t="shared" si="0"/>
        <v>170000</v>
      </c>
      <c r="F15" s="8">
        <v>46584</v>
      </c>
      <c r="G15" s="8">
        <v>6963</v>
      </c>
      <c r="H15" s="8">
        <v>8348</v>
      </c>
      <c r="I15" s="8">
        <v>38907</v>
      </c>
      <c r="J15" s="8">
        <v>7011</v>
      </c>
      <c r="K15" s="7">
        <v>17988</v>
      </c>
      <c r="L15" s="8">
        <v>3759</v>
      </c>
      <c r="M15" s="8">
        <v>22914</v>
      </c>
      <c r="N15" s="8">
        <v>2889</v>
      </c>
      <c r="O15" s="8">
        <v>3261</v>
      </c>
      <c r="P15" s="8">
        <v>3197</v>
      </c>
      <c r="Q15" s="8">
        <v>1280</v>
      </c>
      <c r="R15" s="7">
        <f t="shared" si="1"/>
        <v>6899</v>
      </c>
    </row>
    <row r="16" spans="1:28" ht="15.75" customHeight="1">
      <c r="A16" s="4">
        <v>15</v>
      </c>
      <c r="B16" s="5"/>
      <c r="C16" s="5" t="s">
        <v>37</v>
      </c>
      <c r="D16" s="6">
        <v>2300</v>
      </c>
      <c r="E16" s="7">
        <f t="shared" si="0"/>
        <v>195500</v>
      </c>
      <c r="F16" s="8">
        <v>89115</v>
      </c>
      <c r="G16" s="8">
        <v>6963</v>
      </c>
      <c r="H16" s="8">
        <v>8348</v>
      </c>
      <c r="I16" s="8">
        <v>38907</v>
      </c>
      <c r="J16" s="8">
        <v>7011</v>
      </c>
      <c r="K16" s="7">
        <v>17988</v>
      </c>
      <c r="L16" s="8">
        <v>3759</v>
      </c>
      <c r="M16" s="8">
        <v>22914</v>
      </c>
      <c r="N16" s="8">
        <v>2889</v>
      </c>
      <c r="O16" s="8">
        <v>3261</v>
      </c>
      <c r="P16" s="8">
        <v>3197</v>
      </c>
      <c r="Q16" s="8">
        <v>1280</v>
      </c>
      <c r="R16" s="7">
        <f t="shared" si="1"/>
        <v>-10132</v>
      </c>
    </row>
    <row r="17" spans="1:19" ht="15.75" customHeight="1">
      <c r="A17" s="4">
        <v>16</v>
      </c>
      <c r="B17" s="5"/>
      <c r="C17" s="5" t="s">
        <v>38</v>
      </c>
      <c r="D17" s="6">
        <v>2000</v>
      </c>
      <c r="E17" s="7">
        <f t="shared" si="0"/>
        <v>170000</v>
      </c>
      <c r="F17" s="8">
        <v>63122</v>
      </c>
      <c r="G17" s="8">
        <v>6963</v>
      </c>
      <c r="H17" s="8">
        <v>8348</v>
      </c>
      <c r="I17" s="8">
        <v>38907</v>
      </c>
      <c r="J17" s="8">
        <v>7011</v>
      </c>
      <c r="K17" s="7">
        <v>17988</v>
      </c>
      <c r="L17" s="8">
        <v>3759</v>
      </c>
      <c r="M17" s="8">
        <v>22914</v>
      </c>
      <c r="N17" s="8">
        <v>2889</v>
      </c>
      <c r="O17" s="8">
        <v>3261</v>
      </c>
      <c r="P17" s="8">
        <v>3197</v>
      </c>
      <c r="Q17" s="8">
        <v>1280</v>
      </c>
      <c r="R17" s="7">
        <f t="shared" si="1"/>
        <v>-9639</v>
      </c>
    </row>
    <row r="18" spans="1:19" ht="15.75" customHeight="1">
      <c r="A18" s="4">
        <v>17</v>
      </c>
      <c r="B18" s="5"/>
      <c r="C18" s="5" t="s">
        <v>39</v>
      </c>
      <c r="D18" s="6">
        <v>2000</v>
      </c>
      <c r="E18" s="7">
        <f t="shared" si="0"/>
        <v>170000</v>
      </c>
      <c r="F18" s="8">
        <v>42000</v>
      </c>
      <c r="G18" s="8">
        <v>6963</v>
      </c>
      <c r="H18" s="8">
        <v>8348</v>
      </c>
      <c r="I18" s="8">
        <v>38907</v>
      </c>
      <c r="J18" s="8">
        <v>7011</v>
      </c>
      <c r="K18" s="7">
        <v>17988</v>
      </c>
      <c r="L18" s="8">
        <v>3759</v>
      </c>
      <c r="M18" s="8">
        <v>22914</v>
      </c>
      <c r="N18" s="8">
        <v>2889</v>
      </c>
      <c r="O18" s="8">
        <v>3261</v>
      </c>
      <c r="P18" s="8">
        <v>3197</v>
      </c>
      <c r="Q18" s="8">
        <v>1280</v>
      </c>
      <c r="R18" s="7">
        <f t="shared" si="1"/>
        <v>11483</v>
      </c>
    </row>
    <row r="19" spans="1:19" ht="15.75" customHeight="1">
      <c r="A19" s="4">
        <v>18</v>
      </c>
      <c r="B19" s="5"/>
      <c r="C19" s="5" t="s">
        <v>40</v>
      </c>
      <c r="D19" s="6">
        <v>1800</v>
      </c>
      <c r="E19" s="7">
        <f t="shared" si="0"/>
        <v>153000</v>
      </c>
      <c r="F19" s="8">
        <v>39168</v>
      </c>
      <c r="G19" s="8">
        <v>6963</v>
      </c>
      <c r="H19" s="8">
        <v>8348</v>
      </c>
      <c r="I19" s="8">
        <v>38907</v>
      </c>
      <c r="J19" s="8">
        <v>7011</v>
      </c>
      <c r="K19" s="7">
        <v>17988</v>
      </c>
      <c r="L19" s="8">
        <v>3759</v>
      </c>
      <c r="M19" s="8">
        <v>22914</v>
      </c>
      <c r="N19" s="8">
        <v>2889</v>
      </c>
      <c r="O19" s="8">
        <v>3261</v>
      </c>
      <c r="P19" s="8">
        <v>3197</v>
      </c>
      <c r="Q19" s="8">
        <v>1280</v>
      </c>
      <c r="R19" s="7">
        <f t="shared" si="1"/>
        <v>-2685</v>
      </c>
      <c r="S19" s="9">
        <v>36483</v>
      </c>
    </row>
    <row r="20" spans="1:19" ht="15.75" customHeight="1">
      <c r="A20" s="4">
        <v>19</v>
      </c>
      <c r="B20" s="5"/>
      <c r="C20" s="5" t="s">
        <v>41</v>
      </c>
      <c r="D20" s="6">
        <v>2000</v>
      </c>
      <c r="E20" s="7">
        <f t="shared" si="0"/>
        <v>170000</v>
      </c>
      <c r="F20" s="8">
        <v>37000</v>
      </c>
      <c r="G20" s="8">
        <v>6963</v>
      </c>
      <c r="H20" s="8">
        <v>8348</v>
      </c>
      <c r="I20" s="8">
        <v>38907</v>
      </c>
      <c r="J20" s="8">
        <v>7011</v>
      </c>
      <c r="K20" s="7">
        <v>17988</v>
      </c>
      <c r="L20" s="8">
        <v>3759</v>
      </c>
      <c r="M20" s="8">
        <v>22914</v>
      </c>
      <c r="N20" s="8">
        <v>2889</v>
      </c>
      <c r="O20" s="8">
        <v>3261</v>
      </c>
      <c r="P20" s="8">
        <v>3197</v>
      </c>
      <c r="Q20" s="8">
        <v>1280</v>
      </c>
      <c r="R20" s="7">
        <f t="shared" si="1"/>
        <v>16483</v>
      </c>
    </row>
    <row r="21" spans="1:19" ht="15.75" customHeight="1">
      <c r="A21" s="4">
        <v>20</v>
      </c>
      <c r="B21" s="5"/>
      <c r="C21" s="5" t="s">
        <v>42</v>
      </c>
      <c r="D21" s="6">
        <v>2000</v>
      </c>
      <c r="E21" s="7">
        <f t="shared" si="0"/>
        <v>170000</v>
      </c>
      <c r="F21" s="8">
        <v>48800</v>
      </c>
      <c r="G21" s="8">
        <v>6963</v>
      </c>
      <c r="H21" s="8">
        <v>8348</v>
      </c>
      <c r="I21" s="8">
        <v>38907</v>
      </c>
      <c r="J21" s="8">
        <v>7011</v>
      </c>
      <c r="K21" s="7">
        <v>17988</v>
      </c>
      <c r="L21" s="8">
        <v>3759</v>
      </c>
      <c r="M21" s="8">
        <v>22914</v>
      </c>
      <c r="N21" s="8">
        <v>2889</v>
      </c>
      <c r="O21" s="8">
        <v>3261</v>
      </c>
      <c r="P21" s="8">
        <v>3197</v>
      </c>
      <c r="Q21" s="8">
        <v>1280</v>
      </c>
      <c r="R21" s="7">
        <f t="shared" si="1"/>
        <v>4683</v>
      </c>
    </row>
    <row r="22" spans="1:19" ht="15.75" customHeight="1">
      <c r="A22" s="4">
        <v>21</v>
      </c>
      <c r="B22" s="5"/>
      <c r="C22" s="5" t="s">
        <v>43</v>
      </c>
      <c r="D22" s="6">
        <v>2000</v>
      </c>
      <c r="E22" s="7">
        <f t="shared" si="0"/>
        <v>170000</v>
      </c>
      <c r="F22" s="8">
        <v>41768</v>
      </c>
      <c r="G22" s="8">
        <v>6963</v>
      </c>
      <c r="H22" s="8">
        <v>8348</v>
      </c>
      <c r="I22" s="8">
        <v>38907</v>
      </c>
      <c r="J22" s="8">
        <v>7011</v>
      </c>
      <c r="K22" s="7">
        <v>17988</v>
      </c>
      <c r="L22" s="8">
        <v>3759</v>
      </c>
      <c r="M22" s="8">
        <v>22914</v>
      </c>
      <c r="N22" s="8">
        <v>2889</v>
      </c>
      <c r="O22" s="8">
        <v>3261</v>
      </c>
      <c r="P22" s="8">
        <v>3197</v>
      </c>
      <c r="Q22" s="8">
        <v>1280</v>
      </c>
      <c r="R22" s="7">
        <f t="shared" si="1"/>
        <v>11715</v>
      </c>
    </row>
    <row r="23" spans="1:19" ht="15.75" customHeight="1">
      <c r="A23" s="4">
        <v>22</v>
      </c>
      <c r="B23" s="5"/>
      <c r="C23" s="5" t="s">
        <v>44</v>
      </c>
      <c r="D23" s="6">
        <v>1600</v>
      </c>
      <c r="E23" s="7">
        <f t="shared" si="0"/>
        <v>136000</v>
      </c>
      <c r="F23" s="8">
        <v>49840</v>
      </c>
      <c r="G23" s="8">
        <v>6963</v>
      </c>
      <c r="H23" s="8">
        <v>8348</v>
      </c>
      <c r="I23" s="8">
        <v>38907</v>
      </c>
      <c r="J23" s="8">
        <v>7011</v>
      </c>
      <c r="K23" s="7">
        <v>17988</v>
      </c>
      <c r="L23" s="8">
        <v>3759</v>
      </c>
      <c r="M23" s="8">
        <v>22914</v>
      </c>
      <c r="N23" s="8">
        <v>2889</v>
      </c>
      <c r="O23" s="8">
        <v>3261</v>
      </c>
      <c r="P23" s="8">
        <v>3197</v>
      </c>
      <c r="Q23" s="8">
        <v>1280</v>
      </c>
      <c r="R23" s="7">
        <f t="shared" si="1"/>
        <v>-30357</v>
      </c>
      <c r="S23" s="9">
        <v>19500</v>
      </c>
    </row>
    <row r="24" spans="1:19" ht="15.75" customHeight="1">
      <c r="A24" s="4">
        <v>23</v>
      </c>
      <c r="B24" s="5"/>
      <c r="C24" s="5" t="s">
        <v>85</v>
      </c>
      <c r="D24" s="6">
        <v>2000</v>
      </c>
      <c r="E24" s="7">
        <f t="shared" si="0"/>
        <v>170000</v>
      </c>
      <c r="F24" s="8">
        <v>38800</v>
      </c>
      <c r="G24" s="8">
        <v>6963</v>
      </c>
      <c r="H24" s="8">
        <v>8348</v>
      </c>
      <c r="I24" s="8">
        <v>38907</v>
      </c>
      <c r="J24" s="8">
        <v>7011</v>
      </c>
      <c r="K24" s="7">
        <v>17988</v>
      </c>
      <c r="L24" s="8">
        <v>3759</v>
      </c>
      <c r="M24" s="8">
        <v>22914</v>
      </c>
      <c r="N24" s="8">
        <v>2889</v>
      </c>
      <c r="O24" s="8">
        <v>3261</v>
      </c>
      <c r="P24" s="8">
        <v>3197</v>
      </c>
      <c r="Q24" s="8">
        <v>1280</v>
      </c>
      <c r="R24" s="7">
        <f t="shared" si="1"/>
        <v>14683</v>
      </c>
    </row>
    <row r="25" spans="1:19" ht="15.75" customHeight="1">
      <c r="A25" s="4">
        <v>24</v>
      </c>
      <c r="B25" s="5"/>
      <c r="C25" s="5" t="s">
        <v>45</v>
      </c>
      <c r="D25" s="6">
        <v>2000</v>
      </c>
      <c r="E25" s="7">
        <f t="shared" si="0"/>
        <v>170000</v>
      </c>
      <c r="F25" s="8">
        <v>85000</v>
      </c>
      <c r="G25" s="8">
        <v>6963</v>
      </c>
      <c r="H25" s="8">
        <v>8348</v>
      </c>
      <c r="I25" s="8">
        <v>38907</v>
      </c>
      <c r="J25" s="8">
        <v>7011</v>
      </c>
      <c r="K25" s="7">
        <v>17988</v>
      </c>
      <c r="L25" s="8">
        <v>3759</v>
      </c>
      <c r="M25" s="8">
        <v>22914</v>
      </c>
      <c r="N25" s="8">
        <v>2889</v>
      </c>
      <c r="O25" s="8">
        <v>3261</v>
      </c>
      <c r="P25" s="8">
        <v>3197</v>
      </c>
      <c r="Q25" s="8">
        <v>1280</v>
      </c>
      <c r="R25" s="7">
        <f t="shared" si="1"/>
        <v>-31517</v>
      </c>
    </row>
    <row r="26" spans="1:19" ht="15.75" customHeight="1">
      <c r="A26" s="4">
        <v>25</v>
      </c>
      <c r="B26" s="5" t="s">
        <v>46</v>
      </c>
      <c r="C26" s="5" t="s">
        <v>47</v>
      </c>
      <c r="D26" s="6">
        <v>2200</v>
      </c>
      <c r="E26" s="7">
        <f t="shared" si="0"/>
        <v>187000</v>
      </c>
      <c r="F26" s="8">
        <v>67327</v>
      </c>
      <c r="G26" s="8">
        <v>6963</v>
      </c>
      <c r="H26" s="8">
        <v>8348</v>
      </c>
      <c r="I26" s="8">
        <v>38907</v>
      </c>
      <c r="J26" s="8">
        <v>7011</v>
      </c>
      <c r="K26" s="7">
        <v>17988</v>
      </c>
      <c r="L26" s="8">
        <v>3759</v>
      </c>
      <c r="M26" s="8">
        <v>22914</v>
      </c>
      <c r="N26" s="8">
        <v>2889</v>
      </c>
      <c r="O26" s="8">
        <v>3261</v>
      </c>
      <c r="P26" s="8">
        <v>3197</v>
      </c>
      <c r="Q26" s="8">
        <v>1280</v>
      </c>
      <c r="R26" s="7">
        <f t="shared" si="1"/>
        <v>3156</v>
      </c>
    </row>
    <row r="27" spans="1:19" ht="15.75" customHeight="1">
      <c r="A27" s="4">
        <v>26</v>
      </c>
      <c r="B27" s="5"/>
      <c r="C27" s="5" t="s">
        <v>48</v>
      </c>
      <c r="D27" s="6">
        <v>2300</v>
      </c>
      <c r="E27" s="7">
        <f t="shared" si="0"/>
        <v>195500</v>
      </c>
      <c r="F27" s="10">
        <v>70000</v>
      </c>
      <c r="G27" s="8">
        <v>6963</v>
      </c>
      <c r="H27" s="8">
        <v>8348</v>
      </c>
      <c r="I27" s="8">
        <v>38907</v>
      </c>
      <c r="J27" s="8">
        <v>7011</v>
      </c>
      <c r="K27" s="7">
        <v>17988</v>
      </c>
      <c r="L27" s="8">
        <v>3759</v>
      </c>
      <c r="M27" s="8">
        <v>22914</v>
      </c>
      <c r="N27" s="8">
        <v>2889</v>
      </c>
      <c r="O27" s="8">
        <v>3261</v>
      </c>
      <c r="P27" s="8">
        <v>3197</v>
      </c>
      <c r="Q27" s="8">
        <v>1280</v>
      </c>
      <c r="R27" s="7">
        <f t="shared" si="1"/>
        <v>8983</v>
      </c>
    </row>
    <row r="28" spans="1:19" ht="15.75" customHeight="1">
      <c r="A28" s="4">
        <v>27</v>
      </c>
      <c r="B28" s="5"/>
      <c r="C28" s="5" t="s">
        <v>49</v>
      </c>
      <c r="D28" s="6">
        <v>2100</v>
      </c>
      <c r="E28" s="7">
        <f t="shared" si="0"/>
        <v>178500</v>
      </c>
      <c r="F28" s="8">
        <v>46304</v>
      </c>
      <c r="G28" s="8">
        <v>6963</v>
      </c>
      <c r="H28" s="8">
        <v>8348</v>
      </c>
      <c r="I28" s="8">
        <v>38907</v>
      </c>
      <c r="J28" s="8">
        <v>7011</v>
      </c>
      <c r="K28" s="7">
        <v>17988</v>
      </c>
      <c r="L28" s="8">
        <v>3759</v>
      </c>
      <c r="M28" s="8">
        <v>22914</v>
      </c>
      <c r="N28" s="8">
        <v>2889</v>
      </c>
      <c r="O28" s="8">
        <v>3261</v>
      </c>
      <c r="P28" s="8">
        <v>3197</v>
      </c>
      <c r="Q28" s="8">
        <v>1280</v>
      </c>
      <c r="R28" s="7">
        <f t="shared" si="1"/>
        <v>15679</v>
      </c>
    </row>
    <row r="29" spans="1:19" ht="15.75" customHeight="1">
      <c r="A29" s="4">
        <v>28</v>
      </c>
      <c r="B29" s="5" t="s">
        <v>50</v>
      </c>
      <c r="C29" s="5" t="s">
        <v>51</v>
      </c>
      <c r="D29" s="6">
        <v>2000</v>
      </c>
      <c r="E29" s="7">
        <f t="shared" si="0"/>
        <v>170000</v>
      </c>
      <c r="F29" s="10">
        <v>81068</v>
      </c>
      <c r="G29" s="8">
        <v>6963</v>
      </c>
      <c r="H29" s="8">
        <v>8348</v>
      </c>
      <c r="I29" s="8">
        <v>38907</v>
      </c>
      <c r="J29" s="8">
        <v>7011</v>
      </c>
      <c r="K29" s="7">
        <v>17988</v>
      </c>
      <c r="L29" s="8">
        <v>3759</v>
      </c>
      <c r="M29" s="8">
        <v>22914</v>
      </c>
      <c r="N29" s="8">
        <v>2889</v>
      </c>
      <c r="O29" s="8">
        <v>3261</v>
      </c>
      <c r="P29" s="8">
        <v>3197</v>
      </c>
      <c r="Q29" s="8">
        <v>1280</v>
      </c>
      <c r="R29" s="7">
        <f t="shared" si="1"/>
        <v>-27585</v>
      </c>
    </row>
    <row r="30" spans="1:19" ht="15.75" customHeight="1">
      <c r="A30" s="4">
        <v>29</v>
      </c>
      <c r="B30" s="5"/>
      <c r="C30" s="5" t="s">
        <v>52</v>
      </c>
      <c r="D30" s="6">
        <v>2000</v>
      </c>
      <c r="E30" s="7">
        <f t="shared" si="0"/>
        <v>170000</v>
      </c>
      <c r="F30" s="10">
        <v>81800</v>
      </c>
      <c r="G30" s="8">
        <v>6963</v>
      </c>
      <c r="H30" s="8">
        <v>8348</v>
      </c>
      <c r="I30" s="8">
        <v>38907</v>
      </c>
      <c r="J30" s="8">
        <v>7011</v>
      </c>
      <c r="K30" s="7">
        <v>17988</v>
      </c>
      <c r="L30" s="8">
        <v>3759</v>
      </c>
      <c r="M30" s="8">
        <v>22914</v>
      </c>
      <c r="N30" s="8">
        <v>2889</v>
      </c>
      <c r="O30" s="8">
        <v>3261</v>
      </c>
      <c r="P30" s="8">
        <v>3197</v>
      </c>
      <c r="Q30" s="8">
        <v>1280</v>
      </c>
      <c r="R30" s="7">
        <f t="shared" si="1"/>
        <v>-28317</v>
      </c>
    </row>
    <row r="31" spans="1:19" ht="15.75" customHeight="1">
      <c r="A31" s="4">
        <v>30</v>
      </c>
      <c r="B31" s="5" t="s">
        <v>53</v>
      </c>
      <c r="C31" s="5" t="s">
        <v>54</v>
      </c>
      <c r="D31" s="6">
        <v>4900</v>
      </c>
      <c r="E31" s="7">
        <f t="shared" si="0"/>
        <v>416500</v>
      </c>
      <c r="F31" s="8">
        <v>172500</v>
      </c>
      <c r="G31" s="8"/>
      <c r="H31" s="8"/>
      <c r="I31" s="8">
        <v>1888</v>
      </c>
      <c r="J31" s="8"/>
      <c r="K31" s="7"/>
      <c r="L31" s="8"/>
      <c r="M31" s="8"/>
      <c r="N31" s="8"/>
      <c r="O31" s="8"/>
      <c r="P31" s="8"/>
      <c r="Q31" s="8"/>
      <c r="R31" s="7">
        <f t="shared" si="1"/>
        <v>242112</v>
      </c>
    </row>
    <row r="32" spans="1:19" ht="15.75" customHeight="1">
      <c r="A32" s="4">
        <v>31</v>
      </c>
      <c r="B32" s="5"/>
      <c r="C32" s="5" t="s">
        <v>55</v>
      </c>
      <c r="D32" s="6">
        <v>5610</v>
      </c>
      <c r="E32" s="7">
        <f t="shared" si="0"/>
        <v>476850</v>
      </c>
      <c r="F32" s="8">
        <v>226800</v>
      </c>
      <c r="G32" s="8"/>
      <c r="H32" s="8"/>
      <c r="I32" s="8">
        <v>1888</v>
      </c>
      <c r="J32" s="8"/>
      <c r="K32" s="7"/>
      <c r="L32" s="8"/>
      <c r="M32" s="8"/>
      <c r="N32" s="8"/>
      <c r="O32" s="8"/>
      <c r="P32" s="8"/>
      <c r="Q32" s="8"/>
      <c r="R32" s="7">
        <f t="shared" si="1"/>
        <v>248162</v>
      </c>
    </row>
    <row r="33" spans="1:19" ht="15.75" customHeight="1">
      <c r="A33" s="4">
        <v>32</v>
      </c>
      <c r="B33" s="5"/>
      <c r="C33" s="5" t="s">
        <v>56</v>
      </c>
      <c r="D33" s="6">
        <v>6000</v>
      </c>
      <c r="E33" s="7">
        <f t="shared" si="0"/>
        <v>510000</v>
      </c>
      <c r="F33" s="8">
        <v>291600</v>
      </c>
      <c r="G33" s="8"/>
      <c r="H33" s="8"/>
      <c r="I33" s="8">
        <v>1888</v>
      </c>
      <c r="J33" s="8"/>
      <c r="K33" s="7"/>
      <c r="L33" s="8"/>
      <c r="M33" s="8"/>
      <c r="N33" s="8"/>
      <c r="O33" s="8"/>
      <c r="P33" s="8"/>
      <c r="Q33" s="8"/>
      <c r="R33" s="7">
        <f t="shared" si="1"/>
        <v>216512</v>
      </c>
    </row>
    <row r="34" spans="1:19" ht="15.75" customHeight="1">
      <c r="A34" s="4">
        <v>33</v>
      </c>
      <c r="B34" s="5"/>
      <c r="C34" s="5" t="s">
        <v>124</v>
      </c>
      <c r="D34" s="6">
        <v>5100</v>
      </c>
      <c r="E34" s="7">
        <f t="shared" si="0"/>
        <v>433500</v>
      </c>
      <c r="F34" s="8">
        <v>280000</v>
      </c>
      <c r="G34" s="8"/>
      <c r="H34" s="8"/>
      <c r="I34" s="8">
        <v>1888</v>
      </c>
      <c r="J34" s="8"/>
      <c r="K34" s="7"/>
      <c r="L34" s="8"/>
      <c r="M34" s="8"/>
      <c r="N34" s="8"/>
      <c r="O34" s="8"/>
      <c r="P34" s="8"/>
      <c r="Q34" s="8"/>
      <c r="R34" s="7">
        <f t="shared" si="1"/>
        <v>151612</v>
      </c>
    </row>
    <row r="35" spans="1:19" ht="15.75" customHeight="1">
      <c r="A35" s="4">
        <v>34</v>
      </c>
      <c r="B35" s="5" t="s">
        <v>57</v>
      </c>
      <c r="C35" s="5" t="s">
        <v>58</v>
      </c>
      <c r="D35" s="6">
        <v>2628</v>
      </c>
      <c r="E35" s="7">
        <f t="shared" si="0"/>
        <v>223380</v>
      </c>
      <c r="F35" s="8">
        <v>107930</v>
      </c>
      <c r="G35" s="8"/>
      <c r="H35" s="8"/>
      <c r="I35" s="8">
        <v>1888</v>
      </c>
      <c r="J35" s="8"/>
      <c r="K35" s="7"/>
      <c r="L35" s="8"/>
      <c r="M35" s="8"/>
      <c r="N35" s="8"/>
      <c r="O35" s="8"/>
      <c r="P35" s="8"/>
      <c r="Q35" s="8"/>
      <c r="R35" s="7">
        <f t="shared" si="1"/>
        <v>113562</v>
      </c>
    </row>
    <row r="36" spans="1:19" ht="15.75" customHeight="1">
      <c r="A36" s="4">
        <v>35</v>
      </c>
      <c r="B36" s="5" t="s">
        <v>125</v>
      </c>
      <c r="C36" s="5" t="s">
        <v>91</v>
      </c>
      <c r="D36" s="6">
        <v>1850</v>
      </c>
      <c r="E36" s="7">
        <f t="shared" si="0"/>
        <v>157250</v>
      </c>
      <c r="F36" s="8">
        <v>46714</v>
      </c>
      <c r="G36" s="8">
        <v>6963</v>
      </c>
      <c r="H36" s="8">
        <v>8348</v>
      </c>
      <c r="I36" s="8">
        <v>38907</v>
      </c>
      <c r="J36" s="8">
        <v>7011</v>
      </c>
      <c r="K36" s="7">
        <v>17988</v>
      </c>
      <c r="L36" s="8">
        <v>3759</v>
      </c>
      <c r="M36" s="8">
        <v>22914</v>
      </c>
      <c r="N36" s="8">
        <v>2889</v>
      </c>
      <c r="O36" s="8">
        <v>3261</v>
      </c>
      <c r="P36" s="8">
        <v>3197</v>
      </c>
      <c r="Q36" s="8">
        <v>1280</v>
      </c>
      <c r="R36" s="7">
        <f t="shared" si="1"/>
        <v>-5981</v>
      </c>
      <c r="S36" s="9">
        <v>40733</v>
      </c>
    </row>
    <row r="37" spans="1:19" ht="15.75" customHeight="1">
      <c r="A37" s="4">
        <v>36</v>
      </c>
      <c r="B37" s="5"/>
      <c r="C37" s="5" t="s">
        <v>86</v>
      </c>
      <c r="D37" s="6">
        <v>1850</v>
      </c>
      <c r="E37" s="7">
        <f t="shared" si="0"/>
        <v>157250</v>
      </c>
      <c r="F37" s="8">
        <v>37000</v>
      </c>
      <c r="G37" s="8">
        <v>6963</v>
      </c>
      <c r="H37" s="8">
        <v>8348</v>
      </c>
      <c r="I37" s="8">
        <v>38907</v>
      </c>
      <c r="J37" s="8">
        <v>7011</v>
      </c>
      <c r="K37" s="7">
        <v>17988</v>
      </c>
      <c r="L37" s="8">
        <v>3759</v>
      </c>
      <c r="M37" s="8">
        <v>22914</v>
      </c>
      <c r="N37" s="8">
        <v>2889</v>
      </c>
      <c r="O37" s="8">
        <v>3261</v>
      </c>
      <c r="P37" s="8">
        <v>3197</v>
      </c>
      <c r="Q37" s="8">
        <v>1280</v>
      </c>
      <c r="R37" s="7">
        <f t="shared" si="1"/>
        <v>3733</v>
      </c>
    </row>
    <row r="38" spans="1:19" ht="15.75" customHeight="1">
      <c r="A38" s="4">
        <v>37</v>
      </c>
      <c r="B38" s="5" t="s">
        <v>59</v>
      </c>
      <c r="C38" s="5" t="s">
        <v>60</v>
      </c>
      <c r="D38" s="6">
        <v>1800</v>
      </c>
      <c r="E38" s="7">
        <f t="shared" si="0"/>
        <v>153000</v>
      </c>
      <c r="F38" s="8">
        <v>63426</v>
      </c>
      <c r="G38" s="8">
        <v>6963</v>
      </c>
      <c r="H38" s="8">
        <v>8348</v>
      </c>
      <c r="I38" s="8">
        <v>38907</v>
      </c>
      <c r="J38" s="8">
        <v>7011</v>
      </c>
      <c r="K38" s="7">
        <v>17988</v>
      </c>
      <c r="L38" s="8">
        <v>3759</v>
      </c>
      <c r="M38" s="8">
        <v>22914</v>
      </c>
      <c r="N38" s="8">
        <v>2889</v>
      </c>
      <c r="O38" s="8">
        <v>3261</v>
      </c>
      <c r="P38" s="8">
        <v>3197</v>
      </c>
      <c r="Q38" s="8">
        <v>1280</v>
      </c>
      <c r="R38" s="7">
        <f t="shared" si="1"/>
        <v>-26943</v>
      </c>
    </row>
    <row r="39" spans="1:19" ht="15.75" customHeight="1">
      <c r="A39" s="4">
        <v>38</v>
      </c>
      <c r="B39" s="5" t="s">
        <v>61</v>
      </c>
      <c r="C39" s="5" t="s">
        <v>62</v>
      </c>
      <c r="D39" s="6">
        <v>2000</v>
      </c>
      <c r="E39" s="7">
        <f t="shared" si="0"/>
        <v>170000</v>
      </c>
      <c r="F39" s="10">
        <v>87539</v>
      </c>
      <c r="G39" s="8">
        <v>6963</v>
      </c>
      <c r="H39" s="8">
        <v>8348</v>
      </c>
      <c r="I39" s="8">
        <v>38907</v>
      </c>
      <c r="J39" s="8">
        <v>7011</v>
      </c>
      <c r="K39" s="7">
        <v>17988</v>
      </c>
      <c r="L39" s="8">
        <v>3759</v>
      </c>
      <c r="M39" s="8">
        <v>22914</v>
      </c>
      <c r="N39" s="8">
        <v>2889</v>
      </c>
      <c r="O39" s="8">
        <v>3261</v>
      </c>
      <c r="P39" s="8">
        <v>3197</v>
      </c>
      <c r="Q39" s="8">
        <v>1280</v>
      </c>
      <c r="R39" s="7">
        <f t="shared" si="1"/>
        <v>-34056</v>
      </c>
    </row>
    <row r="40" spans="1:19" ht="15.75" customHeight="1">
      <c r="A40" s="4">
        <v>39</v>
      </c>
      <c r="B40" s="5" t="s">
        <v>61</v>
      </c>
      <c r="C40" s="5" t="s">
        <v>63</v>
      </c>
      <c r="D40" s="6">
        <v>2000</v>
      </c>
      <c r="E40" s="7">
        <f t="shared" si="0"/>
        <v>170000</v>
      </c>
      <c r="F40" s="8">
        <v>51000</v>
      </c>
      <c r="G40" s="8">
        <v>6963</v>
      </c>
      <c r="H40" s="8">
        <v>8348</v>
      </c>
      <c r="I40" s="8">
        <v>38907</v>
      </c>
      <c r="J40" s="8">
        <v>7011</v>
      </c>
      <c r="K40" s="7">
        <v>17988</v>
      </c>
      <c r="L40" s="8">
        <v>3759</v>
      </c>
      <c r="M40" s="8">
        <v>22914</v>
      </c>
      <c r="N40" s="8">
        <v>2889</v>
      </c>
      <c r="O40" s="8">
        <v>3261</v>
      </c>
      <c r="P40" s="8">
        <v>3197</v>
      </c>
      <c r="Q40" s="8">
        <v>1280</v>
      </c>
      <c r="R40" s="7">
        <f t="shared" si="1"/>
        <v>2483</v>
      </c>
    </row>
    <row r="41" spans="1:19" ht="15.75" customHeight="1">
      <c r="A41" s="4">
        <v>40</v>
      </c>
      <c r="B41" s="5" t="s">
        <v>61</v>
      </c>
      <c r="C41" s="5" t="s">
        <v>126</v>
      </c>
      <c r="D41" s="6">
        <v>2000</v>
      </c>
      <c r="E41" s="7">
        <f t="shared" si="0"/>
        <v>170000</v>
      </c>
      <c r="F41" s="8">
        <v>45000</v>
      </c>
      <c r="G41" s="8">
        <v>6963</v>
      </c>
      <c r="H41" s="8">
        <v>8348</v>
      </c>
      <c r="I41" s="8">
        <v>38907</v>
      </c>
      <c r="J41" s="8">
        <v>7011</v>
      </c>
      <c r="K41" s="7">
        <v>17988</v>
      </c>
      <c r="L41" s="8">
        <v>3759</v>
      </c>
      <c r="M41" s="8">
        <v>22914</v>
      </c>
      <c r="N41" s="8">
        <v>2889</v>
      </c>
      <c r="O41" s="8">
        <v>3261</v>
      </c>
      <c r="P41" s="8">
        <v>3197</v>
      </c>
      <c r="Q41" s="8">
        <v>1280</v>
      </c>
      <c r="R41" s="7">
        <f t="shared" si="1"/>
        <v>8483</v>
      </c>
    </row>
    <row r="42" spans="1:19" ht="15.75" customHeight="1">
      <c r="A42" s="4">
        <v>41</v>
      </c>
      <c r="B42" s="5" t="s">
        <v>61</v>
      </c>
      <c r="C42" s="5" t="s">
        <v>64</v>
      </c>
      <c r="D42" s="6">
        <v>2000</v>
      </c>
      <c r="E42" s="7">
        <f t="shared" si="0"/>
        <v>170000</v>
      </c>
      <c r="F42" s="10">
        <v>84870</v>
      </c>
      <c r="G42" s="8">
        <v>6963</v>
      </c>
      <c r="H42" s="8">
        <v>8348</v>
      </c>
      <c r="I42" s="8">
        <v>38907</v>
      </c>
      <c r="J42" s="8">
        <v>7011</v>
      </c>
      <c r="K42" s="7">
        <v>17988</v>
      </c>
      <c r="L42" s="8">
        <v>3759</v>
      </c>
      <c r="M42" s="8">
        <v>22914</v>
      </c>
      <c r="N42" s="8">
        <v>2889</v>
      </c>
      <c r="O42" s="8">
        <v>3261</v>
      </c>
      <c r="P42" s="8">
        <v>3197</v>
      </c>
      <c r="Q42" s="8">
        <v>1280</v>
      </c>
      <c r="R42" s="7">
        <f t="shared" si="1"/>
        <v>-31387</v>
      </c>
    </row>
    <row r="43" spans="1:19" ht="15.75" customHeight="1">
      <c r="A43" s="4">
        <v>42</v>
      </c>
      <c r="B43" s="5" t="s">
        <v>61</v>
      </c>
      <c r="C43" s="5" t="s">
        <v>65</v>
      </c>
      <c r="D43" s="6">
        <v>2000</v>
      </c>
      <c r="E43" s="7">
        <f t="shared" si="0"/>
        <v>170000</v>
      </c>
      <c r="F43" s="8">
        <v>62600</v>
      </c>
      <c r="G43" s="8">
        <v>6963</v>
      </c>
      <c r="H43" s="8">
        <v>8348</v>
      </c>
      <c r="I43" s="8">
        <v>38907</v>
      </c>
      <c r="J43" s="8">
        <v>7011</v>
      </c>
      <c r="K43" s="7">
        <v>17988</v>
      </c>
      <c r="L43" s="8">
        <v>3759</v>
      </c>
      <c r="M43" s="8">
        <v>22914</v>
      </c>
      <c r="N43" s="8">
        <v>2889</v>
      </c>
      <c r="O43" s="8">
        <v>3261</v>
      </c>
      <c r="P43" s="8">
        <v>3197</v>
      </c>
      <c r="Q43" s="8">
        <v>1280</v>
      </c>
      <c r="R43" s="7">
        <f t="shared" si="1"/>
        <v>-9117</v>
      </c>
    </row>
    <row r="44" spans="1:19" ht="15.75" customHeight="1">
      <c r="A44" s="4">
        <v>43</v>
      </c>
      <c r="B44" s="5" t="s">
        <v>61</v>
      </c>
      <c r="C44" s="5" t="s">
        <v>66</v>
      </c>
      <c r="D44" s="6">
        <v>2000</v>
      </c>
      <c r="E44" s="7">
        <f t="shared" si="0"/>
        <v>170000</v>
      </c>
      <c r="F44" s="8">
        <v>50713</v>
      </c>
      <c r="G44" s="8">
        <v>6963</v>
      </c>
      <c r="H44" s="8">
        <v>8348</v>
      </c>
      <c r="I44" s="8">
        <v>38907</v>
      </c>
      <c r="J44" s="8">
        <v>7011</v>
      </c>
      <c r="K44" s="7">
        <v>17988</v>
      </c>
      <c r="L44" s="8">
        <v>3759</v>
      </c>
      <c r="M44" s="8">
        <v>22914</v>
      </c>
      <c r="N44" s="8">
        <v>2889</v>
      </c>
      <c r="O44" s="8">
        <v>3261</v>
      </c>
      <c r="P44" s="8">
        <v>3197</v>
      </c>
      <c r="Q44" s="8">
        <v>1280</v>
      </c>
      <c r="R44" s="7">
        <f t="shared" si="1"/>
        <v>2770</v>
      </c>
    </row>
    <row r="45" spans="1:19" ht="15.75" customHeight="1">
      <c r="A45" s="4">
        <v>44</v>
      </c>
      <c r="B45" s="5" t="s">
        <v>61</v>
      </c>
      <c r="C45" s="5" t="s">
        <v>67</v>
      </c>
      <c r="D45" s="6">
        <v>2000</v>
      </c>
      <c r="E45" s="7">
        <f t="shared" si="0"/>
        <v>170000</v>
      </c>
      <c r="F45" s="8">
        <v>54000</v>
      </c>
      <c r="G45" s="8">
        <v>6963</v>
      </c>
      <c r="H45" s="8">
        <v>8348</v>
      </c>
      <c r="I45" s="8">
        <v>38907</v>
      </c>
      <c r="J45" s="8">
        <v>7011</v>
      </c>
      <c r="K45" s="7">
        <v>17988</v>
      </c>
      <c r="L45" s="8">
        <v>3759</v>
      </c>
      <c r="M45" s="8">
        <v>22914</v>
      </c>
      <c r="N45" s="8">
        <v>2889</v>
      </c>
      <c r="O45" s="8">
        <v>3261</v>
      </c>
      <c r="P45" s="8">
        <v>3197</v>
      </c>
      <c r="Q45" s="8">
        <v>1280</v>
      </c>
      <c r="R45" s="7">
        <f t="shared" si="1"/>
        <v>-517</v>
      </c>
    </row>
    <row r="46" spans="1:19" ht="15.75" customHeight="1">
      <c r="A46" s="4">
        <v>45</v>
      </c>
      <c r="B46" s="5" t="s">
        <v>61</v>
      </c>
      <c r="C46" s="5" t="s">
        <v>68</v>
      </c>
      <c r="D46" s="6">
        <v>2000</v>
      </c>
      <c r="E46" s="7">
        <f t="shared" si="0"/>
        <v>170000</v>
      </c>
      <c r="F46" s="8">
        <v>58811</v>
      </c>
      <c r="G46" s="8">
        <v>6963</v>
      </c>
      <c r="H46" s="8">
        <v>8348</v>
      </c>
      <c r="I46" s="8">
        <v>38907</v>
      </c>
      <c r="J46" s="8">
        <v>7011</v>
      </c>
      <c r="K46" s="7">
        <v>17988</v>
      </c>
      <c r="L46" s="8">
        <v>3759</v>
      </c>
      <c r="M46" s="8">
        <v>22914</v>
      </c>
      <c r="N46" s="8">
        <v>2889</v>
      </c>
      <c r="O46" s="8">
        <v>3261</v>
      </c>
      <c r="P46" s="8">
        <v>3197</v>
      </c>
      <c r="Q46" s="8">
        <v>1280</v>
      </c>
      <c r="R46" s="7">
        <f t="shared" si="1"/>
        <v>-5328</v>
      </c>
    </row>
    <row r="47" spans="1:19" ht="15.75" customHeight="1">
      <c r="A47" s="4">
        <v>46</v>
      </c>
      <c r="B47" s="5" t="s">
        <v>61</v>
      </c>
      <c r="C47" s="5" t="s">
        <v>127</v>
      </c>
      <c r="D47" s="6">
        <v>2000</v>
      </c>
      <c r="E47" s="7">
        <f t="shared" si="0"/>
        <v>170000</v>
      </c>
      <c r="F47" s="8">
        <v>58800</v>
      </c>
      <c r="G47" s="8">
        <v>6963</v>
      </c>
      <c r="H47" s="8">
        <v>8348</v>
      </c>
      <c r="I47" s="8">
        <v>38907</v>
      </c>
      <c r="J47" s="8">
        <v>7011</v>
      </c>
      <c r="K47" s="7">
        <v>17988</v>
      </c>
      <c r="L47" s="8">
        <v>3759</v>
      </c>
      <c r="M47" s="8">
        <v>22914</v>
      </c>
      <c r="N47" s="8">
        <v>2889</v>
      </c>
      <c r="O47" s="8">
        <v>3261</v>
      </c>
      <c r="P47" s="8">
        <v>3197</v>
      </c>
      <c r="Q47" s="8">
        <v>1280</v>
      </c>
      <c r="R47" s="7">
        <f t="shared" si="1"/>
        <v>-5317</v>
      </c>
    </row>
    <row r="48" spans="1:19" ht="15.75" customHeight="1">
      <c r="A48" s="4">
        <v>47</v>
      </c>
      <c r="B48" s="5" t="s">
        <v>61</v>
      </c>
      <c r="C48" s="5" t="s">
        <v>128</v>
      </c>
      <c r="D48" s="6">
        <v>2000</v>
      </c>
      <c r="E48" s="7">
        <f t="shared" si="0"/>
        <v>170000</v>
      </c>
      <c r="F48" s="8">
        <v>40728</v>
      </c>
      <c r="G48" s="8">
        <v>6963</v>
      </c>
      <c r="H48" s="8">
        <v>8348</v>
      </c>
      <c r="I48" s="8">
        <v>38907</v>
      </c>
      <c r="J48" s="8">
        <v>7011</v>
      </c>
      <c r="K48" s="7">
        <v>17988</v>
      </c>
      <c r="L48" s="8">
        <v>3759</v>
      </c>
      <c r="M48" s="8">
        <v>22914</v>
      </c>
      <c r="N48" s="8">
        <v>2889</v>
      </c>
      <c r="O48" s="8">
        <v>3261</v>
      </c>
      <c r="P48" s="8">
        <v>3197</v>
      </c>
      <c r="Q48" s="8">
        <v>1280</v>
      </c>
      <c r="R48" s="7">
        <f t="shared" si="1"/>
        <v>12755</v>
      </c>
    </row>
    <row r="49" spans="1:19" ht="15.75" customHeight="1">
      <c r="A49" s="4">
        <v>48</v>
      </c>
      <c r="B49" s="5" t="s">
        <v>61</v>
      </c>
      <c r="C49" s="5" t="s">
        <v>129</v>
      </c>
      <c r="D49" s="6">
        <v>2000</v>
      </c>
      <c r="E49" s="7">
        <f t="shared" si="0"/>
        <v>170000</v>
      </c>
      <c r="F49" s="8">
        <v>35000</v>
      </c>
      <c r="G49" s="8">
        <v>6963</v>
      </c>
      <c r="H49" s="8">
        <v>8348</v>
      </c>
      <c r="I49" s="8">
        <v>38907</v>
      </c>
      <c r="J49" s="8">
        <v>7011</v>
      </c>
      <c r="K49" s="7">
        <v>17988</v>
      </c>
      <c r="L49" s="8">
        <v>3759</v>
      </c>
      <c r="M49" s="8">
        <v>22914</v>
      </c>
      <c r="N49" s="8">
        <v>2889</v>
      </c>
      <c r="O49" s="8">
        <v>3261</v>
      </c>
      <c r="P49" s="8">
        <v>3197</v>
      </c>
      <c r="Q49" s="8">
        <v>1280</v>
      </c>
      <c r="R49" s="7">
        <f t="shared" si="1"/>
        <v>18483</v>
      </c>
    </row>
    <row r="50" spans="1:19" ht="15.75" customHeight="1">
      <c r="A50" s="4">
        <v>49</v>
      </c>
      <c r="B50" s="5" t="s">
        <v>61</v>
      </c>
      <c r="C50" s="5" t="s">
        <v>130</v>
      </c>
      <c r="D50" s="6">
        <v>2000</v>
      </c>
      <c r="E50" s="7">
        <f t="shared" si="0"/>
        <v>170000</v>
      </c>
      <c r="F50" s="8">
        <v>55300</v>
      </c>
      <c r="G50" s="8">
        <v>6963</v>
      </c>
      <c r="H50" s="8">
        <v>8348</v>
      </c>
      <c r="I50" s="8">
        <v>38907</v>
      </c>
      <c r="J50" s="8">
        <v>7011</v>
      </c>
      <c r="K50" s="7">
        <v>17988</v>
      </c>
      <c r="L50" s="8">
        <v>3759</v>
      </c>
      <c r="M50" s="8">
        <v>22914</v>
      </c>
      <c r="N50" s="8">
        <v>2889</v>
      </c>
      <c r="O50" s="8">
        <v>3261</v>
      </c>
      <c r="P50" s="8">
        <v>3197</v>
      </c>
      <c r="Q50" s="8">
        <v>1280</v>
      </c>
      <c r="R50" s="7">
        <f t="shared" si="1"/>
        <v>-1817</v>
      </c>
    </row>
    <row r="51" spans="1:19" ht="15.75" customHeight="1">
      <c r="A51" s="4">
        <v>50</v>
      </c>
      <c r="B51" s="37" t="s">
        <v>131</v>
      </c>
      <c r="C51" s="5" t="s">
        <v>132</v>
      </c>
      <c r="D51" s="6">
        <v>1775</v>
      </c>
      <c r="E51" s="7">
        <f t="shared" si="0"/>
        <v>150875</v>
      </c>
      <c r="F51" s="8">
        <v>76590</v>
      </c>
      <c r="G51" s="8">
        <v>6963</v>
      </c>
      <c r="H51" s="8">
        <v>8348</v>
      </c>
      <c r="I51" s="8">
        <v>38907</v>
      </c>
      <c r="J51" s="8">
        <v>7011</v>
      </c>
      <c r="K51" s="7">
        <v>17988</v>
      </c>
      <c r="L51" s="8">
        <v>3759</v>
      </c>
      <c r="M51" s="8">
        <v>22914</v>
      </c>
      <c r="N51" s="8">
        <v>2889</v>
      </c>
      <c r="O51" s="8">
        <v>3261</v>
      </c>
      <c r="P51" s="8">
        <v>3197</v>
      </c>
      <c r="Q51" s="8">
        <v>1280</v>
      </c>
      <c r="R51" s="7">
        <f t="shared" si="1"/>
        <v>-42232</v>
      </c>
      <c r="S51" s="9">
        <v>34358</v>
      </c>
    </row>
    <row r="52" spans="1:19" ht="16">
      <c r="A52" s="4">
        <v>51</v>
      </c>
      <c r="B52" s="5" t="s">
        <v>133</v>
      </c>
      <c r="C52" s="11" t="s">
        <v>134</v>
      </c>
      <c r="D52" s="6">
        <v>1800</v>
      </c>
      <c r="E52" s="7">
        <f t="shared" si="0"/>
        <v>153000</v>
      </c>
      <c r="F52" s="8">
        <v>60470</v>
      </c>
      <c r="G52" s="8">
        <v>6963</v>
      </c>
      <c r="H52" s="8">
        <v>8348</v>
      </c>
      <c r="I52" s="8">
        <v>38907</v>
      </c>
      <c r="J52" s="8">
        <v>7011</v>
      </c>
      <c r="K52" s="7">
        <v>17988</v>
      </c>
      <c r="L52" s="8">
        <v>3759</v>
      </c>
      <c r="M52" s="8">
        <v>22914</v>
      </c>
      <c r="N52" s="8">
        <v>2889</v>
      </c>
      <c r="O52" s="8">
        <v>3261</v>
      </c>
      <c r="P52" s="8">
        <v>3197</v>
      </c>
      <c r="Q52" s="8">
        <v>1280</v>
      </c>
      <c r="R52" s="7">
        <f t="shared" si="1"/>
        <v>-23987</v>
      </c>
    </row>
    <row r="53" spans="1:19" ht="16">
      <c r="A53" s="4">
        <v>52</v>
      </c>
      <c r="B53" s="5" t="s">
        <v>70</v>
      </c>
      <c r="C53" s="11" t="s">
        <v>71</v>
      </c>
      <c r="D53" s="38">
        <v>114884</v>
      </c>
      <c r="E53" s="7">
        <v>114884</v>
      </c>
      <c r="F53" s="8">
        <v>94167</v>
      </c>
      <c r="G53" s="8"/>
      <c r="H53" s="8"/>
      <c r="I53" s="8">
        <v>1888</v>
      </c>
      <c r="J53" s="8"/>
      <c r="K53" s="7"/>
      <c r="L53" s="8"/>
      <c r="M53" s="8"/>
      <c r="N53" s="8"/>
      <c r="O53" s="8"/>
      <c r="P53" s="8"/>
      <c r="Q53" s="8"/>
      <c r="R53" s="7">
        <f t="shared" si="1"/>
        <v>18829</v>
      </c>
    </row>
    <row r="54" spans="1:19" ht="16">
      <c r="A54" s="4">
        <v>53</v>
      </c>
      <c r="B54" s="5" t="s">
        <v>135</v>
      </c>
      <c r="C54" s="11" t="s">
        <v>136</v>
      </c>
      <c r="D54" s="6">
        <v>1800</v>
      </c>
      <c r="E54" s="7">
        <f>D54*85</f>
        <v>153000</v>
      </c>
      <c r="F54" s="39">
        <v>88835</v>
      </c>
      <c r="G54" s="8">
        <v>6963</v>
      </c>
      <c r="H54" s="8">
        <v>8348</v>
      </c>
      <c r="I54" s="8">
        <v>38907</v>
      </c>
      <c r="J54" s="8">
        <v>7011</v>
      </c>
      <c r="K54" s="7">
        <v>17988</v>
      </c>
      <c r="L54" s="8">
        <v>3759</v>
      </c>
      <c r="M54" s="8">
        <v>22914</v>
      </c>
      <c r="N54" s="8">
        <v>2889</v>
      </c>
      <c r="O54" s="8">
        <v>3261</v>
      </c>
      <c r="P54" s="8">
        <v>3197</v>
      </c>
      <c r="Q54" s="8">
        <v>1280</v>
      </c>
      <c r="R54" s="7">
        <f t="shared" si="1"/>
        <v>-52352</v>
      </c>
    </row>
    <row r="55" spans="1:19" ht="16">
      <c r="A55" s="15"/>
      <c r="B55" s="15"/>
      <c r="C55" s="15"/>
      <c r="D55" s="15"/>
      <c r="E55" s="15"/>
      <c r="F55" s="16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9" ht="16">
      <c r="A56" s="15"/>
      <c r="B56" s="15"/>
      <c r="C56" s="15" t="s">
        <v>137</v>
      </c>
      <c r="D56" s="15"/>
      <c r="E56" s="15"/>
      <c r="F56" s="16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9" ht="16">
      <c r="A57" s="15"/>
      <c r="B57" s="15"/>
      <c r="C57" s="15" t="s">
        <v>82</v>
      </c>
      <c r="D57" s="15"/>
      <c r="E57" s="18">
        <f t="shared" ref="E57:R57" si="2">SUM(E2:E54)</f>
        <v>10067364</v>
      </c>
      <c r="F57" s="19">
        <f t="shared" si="2"/>
        <v>3952692</v>
      </c>
      <c r="G57" s="19">
        <f t="shared" si="2"/>
        <v>327261</v>
      </c>
      <c r="H57" s="19">
        <f t="shared" si="2"/>
        <v>392356</v>
      </c>
      <c r="I57" s="19">
        <f t="shared" si="2"/>
        <v>1839957</v>
      </c>
      <c r="J57" s="19">
        <f t="shared" si="2"/>
        <v>329517</v>
      </c>
      <c r="K57" s="18">
        <f t="shared" si="2"/>
        <v>845436</v>
      </c>
      <c r="L57" s="19">
        <f t="shared" si="2"/>
        <v>176673</v>
      </c>
      <c r="M57" s="19">
        <f t="shared" si="2"/>
        <v>1076958</v>
      </c>
      <c r="N57" s="19">
        <f t="shared" si="2"/>
        <v>135783</v>
      </c>
      <c r="O57" s="19">
        <f t="shared" si="2"/>
        <v>153267</v>
      </c>
      <c r="P57" s="19">
        <f t="shared" si="2"/>
        <v>150259</v>
      </c>
      <c r="Q57" s="19">
        <f t="shared" si="2"/>
        <v>60160</v>
      </c>
      <c r="R57" s="18">
        <f t="shared" si="2"/>
        <v>627045</v>
      </c>
    </row>
    <row r="58" spans="1:19" ht="16">
      <c r="A58" s="15"/>
      <c r="B58" s="15"/>
      <c r="C58" s="15" t="s">
        <v>83</v>
      </c>
      <c r="D58" s="15"/>
      <c r="E58" s="18">
        <f t="shared" ref="E58:Q58" si="3">E57/51</f>
        <v>197399.29411764705</v>
      </c>
      <c r="F58" s="19">
        <f t="shared" si="3"/>
        <v>77503.76470588235</v>
      </c>
      <c r="G58" s="19">
        <f t="shared" si="3"/>
        <v>6416.8823529411766</v>
      </c>
      <c r="H58" s="19">
        <f t="shared" si="3"/>
        <v>7693.2549019607841</v>
      </c>
      <c r="I58" s="19">
        <f t="shared" si="3"/>
        <v>36077.588235294119</v>
      </c>
      <c r="J58" s="19">
        <f t="shared" si="3"/>
        <v>6461.1176470588234</v>
      </c>
      <c r="K58" s="18">
        <f t="shared" si="3"/>
        <v>16577.176470588234</v>
      </c>
      <c r="L58" s="19">
        <f t="shared" si="3"/>
        <v>3464.1764705882351</v>
      </c>
      <c r="M58" s="19">
        <f t="shared" si="3"/>
        <v>21116.823529411766</v>
      </c>
      <c r="N58" s="19">
        <f t="shared" si="3"/>
        <v>2662.4117647058824</v>
      </c>
      <c r="O58" s="19">
        <f t="shared" si="3"/>
        <v>3005.2352941176468</v>
      </c>
      <c r="P58" s="19">
        <f t="shared" si="3"/>
        <v>2946.2549019607845</v>
      </c>
      <c r="Q58" s="19">
        <f t="shared" si="3"/>
        <v>1179.6078431372548</v>
      </c>
      <c r="R58" s="15"/>
    </row>
    <row r="59" spans="1:19" ht="16">
      <c r="A59" s="15"/>
      <c r="B59" s="15"/>
      <c r="C59" s="15"/>
      <c r="D59" s="15"/>
      <c r="E59" s="15"/>
      <c r="F59" s="16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15"/>
    </row>
    <row r="60" spans="1:19" ht="16">
      <c r="A60" s="15"/>
      <c r="B60" s="15"/>
      <c r="C60" s="15"/>
      <c r="D60" s="15"/>
      <c r="E60" s="15"/>
      <c r="F60" s="16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15"/>
    </row>
    <row r="61" spans="1:19" ht="16">
      <c r="A61" s="15"/>
      <c r="B61" s="15" t="s">
        <v>138</v>
      </c>
      <c r="C61" s="15" t="s">
        <v>139</v>
      </c>
      <c r="D61" s="15"/>
      <c r="E61" s="15"/>
      <c r="F61" s="16">
        <v>45000</v>
      </c>
      <c r="G61" s="31">
        <f t="shared" ref="G61:Q61" si="4">G57/55</f>
        <v>5950.2</v>
      </c>
      <c r="H61" s="31">
        <f t="shared" si="4"/>
        <v>7133.7454545454548</v>
      </c>
      <c r="I61" s="31">
        <f t="shared" si="4"/>
        <v>33453.763636363634</v>
      </c>
      <c r="J61" s="31">
        <f t="shared" si="4"/>
        <v>5991.2181818181816</v>
      </c>
      <c r="K61" s="30">
        <f t="shared" si="4"/>
        <v>15371.563636363637</v>
      </c>
      <c r="L61" s="31">
        <f t="shared" si="4"/>
        <v>3212.2363636363634</v>
      </c>
      <c r="M61" s="31">
        <f t="shared" si="4"/>
        <v>19581.054545454546</v>
      </c>
      <c r="N61" s="31">
        <f t="shared" si="4"/>
        <v>2468.7818181818184</v>
      </c>
      <c r="O61" s="31">
        <f t="shared" si="4"/>
        <v>2786.6727272727271</v>
      </c>
      <c r="P61" s="31">
        <f t="shared" si="4"/>
        <v>2731.9818181818182</v>
      </c>
      <c r="Q61" s="31">
        <f t="shared" si="4"/>
        <v>1093.8181818181818</v>
      </c>
      <c r="R61" s="15"/>
    </row>
    <row r="62" spans="1:19" ht="16">
      <c r="A62" s="15"/>
      <c r="B62" s="15"/>
      <c r="C62" s="15" t="s">
        <v>140</v>
      </c>
      <c r="D62" s="15"/>
      <c r="E62" s="15"/>
      <c r="F62" s="16">
        <f t="shared" ref="F62:Q62" si="5">F58-F61</f>
        <v>32503.76470588235</v>
      </c>
      <c r="G62" s="31">
        <f t="shared" si="5"/>
        <v>466.68235294117676</v>
      </c>
      <c r="H62" s="31">
        <f t="shared" si="5"/>
        <v>559.5094474153293</v>
      </c>
      <c r="I62" s="31">
        <f t="shared" si="5"/>
        <v>2623.8245989304851</v>
      </c>
      <c r="J62" s="31">
        <f t="shared" si="5"/>
        <v>469.8994652406418</v>
      </c>
      <c r="K62" s="30">
        <f t="shared" si="5"/>
        <v>1205.6128342245975</v>
      </c>
      <c r="L62" s="31">
        <f t="shared" si="5"/>
        <v>251.94010695187171</v>
      </c>
      <c r="M62" s="31">
        <f t="shared" si="5"/>
        <v>1535.7689839572195</v>
      </c>
      <c r="N62" s="31">
        <f t="shared" si="5"/>
        <v>193.62994652406405</v>
      </c>
      <c r="O62" s="31">
        <f t="shared" si="5"/>
        <v>218.56256684491973</v>
      </c>
      <c r="P62" s="31">
        <f t="shared" si="5"/>
        <v>214.27308377896634</v>
      </c>
      <c r="Q62" s="31">
        <f t="shared" si="5"/>
        <v>85.789661319073048</v>
      </c>
      <c r="R62" s="15"/>
    </row>
    <row r="63" spans="1:19" ht="16">
      <c r="A63" s="15"/>
      <c r="B63" s="15"/>
      <c r="C63" s="15" t="s">
        <v>141</v>
      </c>
      <c r="D63" s="15"/>
      <c r="E63" s="15"/>
      <c r="F63" s="16">
        <f t="shared" ref="F63:Q63" si="6">F62*51</f>
        <v>1657691.9999999998</v>
      </c>
      <c r="G63" s="16">
        <f t="shared" si="6"/>
        <v>23800.800000000014</v>
      </c>
      <c r="H63" s="16">
        <f t="shared" si="6"/>
        <v>28534.981818181794</v>
      </c>
      <c r="I63" s="16">
        <f t="shared" si="6"/>
        <v>133815.05454545474</v>
      </c>
      <c r="J63" s="16">
        <f t="shared" si="6"/>
        <v>23964.872727272734</v>
      </c>
      <c r="K63" s="16">
        <f t="shared" si="6"/>
        <v>61486.254545454474</v>
      </c>
      <c r="L63" s="16">
        <f t="shared" si="6"/>
        <v>12848.945454545457</v>
      </c>
      <c r="M63" s="16">
        <f t="shared" si="6"/>
        <v>78324.2181818182</v>
      </c>
      <c r="N63" s="16">
        <f t="shared" si="6"/>
        <v>9875.1272727272662</v>
      </c>
      <c r="O63" s="16">
        <f t="shared" si="6"/>
        <v>11146.690909090907</v>
      </c>
      <c r="P63" s="16">
        <f t="shared" si="6"/>
        <v>10927.927272727284</v>
      </c>
      <c r="Q63" s="16">
        <f t="shared" si="6"/>
        <v>4375.2727272727252</v>
      </c>
      <c r="R63" s="15"/>
    </row>
    <row r="64" spans="1:19" ht="16">
      <c r="A64" s="15"/>
      <c r="B64" s="15"/>
      <c r="C64" s="15" t="s">
        <v>142</v>
      </c>
      <c r="D64" s="15"/>
      <c r="E64" s="15"/>
      <c r="F64" s="16">
        <f t="shared" ref="F64:Q64" si="7">F63/85</f>
        <v>19502.25882352941</v>
      </c>
      <c r="G64" s="16">
        <f t="shared" si="7"/>
        <v>280.00941176470604</v>
      </c>
      <c r="H64" s="16">
        <f t="shared" si="7"/>
        <v>335.70566844919756</v>
      </c>
      <c r="I64" s="16">
        <f t="shared" si="7"/>
        <v>1574.294759358291</v>
      </c>
      <c r="J64" s="16">
        <f t="shared" si="7"/>
        <v>281.93967914438508</v>
      </c>
      <c r="K64" s="16">
        <f t="shared" si="7"/>
        <v>723.36770053475857</v>
      </c>
      <c r="L64" s="16">
        <f t="shared" si="7"/>
        <v>151.16406417112302</v>
      </c>
      <c r="M64" s="16">
        <f t="shared" si="7"/>
        <v>921.46139037433181</v>
      </c>
      <c r="N64" s="16">
        <f t="shared" si="7"/>
        <v>116.17796791443843</v>
      </c>
      <c r="O64" s="16">
        <f t="shared" si="7"/>
        <v>131.13754010695183</v>
      </c>
      <c r="P64" s="16">
        <f t="shared" si="7"/>
        <v>128.56385026737982</v>
      </c>
      <c r="Q64" s="16">
        <f t="shared" si="7"/>
        <v>51.473796791443824</v>
      </c>
      <c r="R64" s="15"/>
    </row>
    <row r="65" spans="1:18" ht="16">
      <c r="A65" s="15"/>
      <c r="B65" s="15"/>
      <c r="C65" s="15"/>
      <c r="D65" s="15"/>
      <c r="E65" s="15"/>
      <c r="F65" s="16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 ht="16">
      <c r="A66" s="15"/>
      <c r="B66" s="15"/>
      <c r="C66" s="15"/>
      <c r="D66" s="15"/>
      <c r="E66" s="15"/>
      <c r="F66" s="16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 ht="16">
      <c r="A67" s="15"/>
      <c r="B67" s="15"/>
      <c r="C67" s="40"/>
      <c r="D67" s="41"/>
      <c r="E67" s="42"/>
      <c r="F67" s="43"/>
      <c r="G67" s="40"/>
      <c r="H67" s="40"/>
      <c r="I67" s="40"/>
      <c r="J67" s="15"/>
      <c r="K67" s="15"/>
      <c r="L67" s="15"/>
      <c r="M67" s="15"/>
      <c r="N67" s="15"/>
      <c r="O67" s="15"/>
      <c r="P67" s="15"/>
      <c r="Q67" s="15"/>
      <c r="R67" s="15"/>
    </row>
    <row r="68" spans="1:18" ht="16">
      <c r="A68" s="15"/>
      <c r="B68" s="15"/>
      <c r="C68" s="40"/>
      <c r="D68" s="41"/>
      <c r="E68" s="44"/>
      <c r="F68" s="43"/>
      <c r="G68" s="40"/>
      <c r="H68" s="40"/>
      <c r="I68" s="40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16">
      <c r="A69" s="15"/>
      <c r="B69" s="15"/>
      <c r="C69" s="40"/>
      <c r="D69" s="41"/>
      <c r="E69" s="44"/>
      <c r="F69" s="43"/>
      <c r="G69" s="40"/>
      <c r="H69" s="40"/>
      <c r="I69" s="40"/>
      <c r="J69" s="15"/>
      <c r="K69" s="15"/>
      <c r="L69" s="15"/>
      <c r="M69" s="15"/>
      <c r="N69" s="15"/>
      <c r="O69" s="15"/>
      <c r="P69" s="15"/>
      <c r="Q69" s="15"/>
      <c r="R69" s="15"/>
    </row>
    <row r="70" spans="1:18" ht="16">
      <c r="A70" s="15"/>
      <c r="B70" s="15"/>
      <c r="C70" s="40"/>
      <c r="D70" s="41"/>
      <c r="E70" s="45"/>
      <c r="F70" s="43"/>
      <c r="G70" s="40"/>
      <c r="H70" s="40"/>
      <c r="I70" s="44"/>
      <c r="J70" s="15"/>
      <c r="K70" s="15"/>
      <c r="L70" s="15"/>
      <c r="M70" s="15"/>
      <c r="N70" s="15"/>
      <c r="O70" s="15"/>
      <c r="P70" s="15"/>
      <c r="Q70" s="15"/>
      <c r="R70" s="15"/>
    </row>
    <row r="71" spans="1:18" ht="16">
      <c r="A71" s="15"/>
      <c r="B71" s="15"/>
      <c r="C71" s="40"/>
      <c r="D71" s="41"/>
      <c r="E71" s="44"/>
      <c r="F71" s="40"/>
      <c r="G71" s="40"/>
      <c r="H71" s="40"/>
      <c r="I71" s="44"/>
      <c r="J71" s="15"/>
      <c r="K71" s="15"/>
      <c r="L71" s="15"/>
      <c r="M71" s="15"/>
      <c r="N71" s="15"/>
      <c r="O71" s="15"/>
      <c r="P71" s="15"/>
      <c r="Q71" s="15"/>
      <c r="R71" s="15"/>
    </row>
    <row r="72" spans="1:18" ht="16">
      <c r="A72" s="15"/>
      <c r="B72" s="15"/>
      <c r="C72" s="40"/>
      <c r="D72" s="41"/>
      <c r="E72" s="44"/>
      <c r="F72" s="40"/>
      <c r="G72" s="40"/>
      <c r="H72" s="40"/>
      <c r="I72" s="45"/>
      <c r="J72" s="15"/>
      <c r="K72" s="15"/>
      <c r="L72" s="15"/>
      <c r="M72" s="15"/>
      <c r="N72" s="15"/>
      <c r="O72" s="15"/>
      <c r="P72" s="15"/>
      <c r="Q72" s="15"/>
      <c r="R72" s="15"/>
    </row>
    <row r="73" spans="1:18" ht="16">
      <c r="A73" s="15"/>
      <c r="B73" s="15"/>
      <c r="C73" s="15"/>
      <c r="D73" s="15"/>
      <c r="E73" s="15"/>
      <c r="F73" s="15"/>
      <c r="G73" s="15"/>
      <c r="H73" s="15"/>
      <c r="I73" s="46"/>
      <c r="J73" s="15"/>
      <c r="K73" s="15"/>
      <c r="L73" s="15"/>
      <c r="M73" s="15"/>
      <c r="N73" s="15"/>
      <c r="O73" s="15"/>
      <c r="P73" s="15"/>
      <c r="Q73" s="15"/>
      <c r="R73" s="15"/>
    </row>
    <row r="74" spans="1:18" ht="16">
      <c r="A74" s="15"/>
      <c r="B74" s="15"/>
      <c r="C74" s="15"/>
      <c r="D74" s="15"/>
      <c r="E74" s="15"/>
      <c r="F74" s="15"/>
      <c r="G74" s="15"/>
      <c r="H74" s="15"/>
      <c r="I74" s="46"/>
      <c r="J74" s="15"/>
      <c r="K74" s="15"/>
      <c r="L74" s="15"/>
      <c r="M74" s="15"/>
      <c r="N74" s="15"/>
      <c r="O74" s="15"/>
      <c r="P74" s="15"/>
      <c r="Q74" s="15"/>
      <c r="R74" s="15"/>
    </row>
    <row r="75" spans="1:18" ht="16">
      <c r="A75" s="15"/>
      <c r="B75" s="15"/>
      <c r="C75" s="15"/>
      <c r="D75" s="15"/>
      <c r="E75" s="15"/>
      <c r="F75" s="15"/>
      <c r="G75" s="15"/>
      <c r="H75" s="15"/>
      <c r="I75" s="47"/>
      <c r="J75" s="15"/>
      <c r="K75" s="15"/>
      <c r="L75" s="15"/>
      <c r="M75" s="15"/>
      <c r="N75" s="15"/>
      <c r="O75" s="15"/>
      <c r="P75" s="15"/>
      <c r="Q75" s="15"/>
      <c r="R75" s="15"/>
    </row>
    <row r="76" spans="1:18" ht="1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1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t="1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1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ht="1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1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ht="1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1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ht="1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ht="1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1:18" ht="1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1:18" ht="1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1:18" ht="1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1:18" ht="1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 ht="1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1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ht="1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1:18" ht="1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1:18" ht="1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1:18" ht="1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1:18" ht="1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1:18" ht="1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1:18" ht="1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1:18" ht="1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1:18" ht="1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1:18" ht="1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1:18" ht="1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1:18" ht="1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1:18" ht="1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1:18" ht="1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1:18" ht="1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1:18" ht="1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1:18" ht="1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1:18" ht="1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1:18" ht="1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1:18" ht="1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1:18" ht="1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1:18" ht="1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1:18" ht="1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1:18" ht="1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1:18" ht="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1:18" ht="1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8" ht="1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1:18" ht="1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1:18" ht="1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18" ht="1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18" ht="1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18" ht="1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1:18" ht="1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ht="1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18" ht="1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18" ht="1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1:18" ht="1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ht="1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1:18" ht="1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ht="1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1:18" ht="1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1:18" ht="1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1:18" ht="1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1:18" ht="1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1:18" ht="1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1:18" ht="1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1:18" ht="1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1:18" ht="1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1:18" ht="1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8" ht="1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1:18" ht="1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8" ht="1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1:18" ht="1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1:18" ht="1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spans="1:18" ht="1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1:18" ht="1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spans="1:18" ht="1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1:18" ht="1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spans="1:18" ht="1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1:18" ht="1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spans="1:18" ht="1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1:18" ht="1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spans="1:18" ht="1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1:18" ht="1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spans="1:18" ht="1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1:18" ht="1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1:18" ht="1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1:18" ht="1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1:18" ht="1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1:18" ht="1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spans="1:18" ht="1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1:18" ht="1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spans="1:18" ht="1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1:18" ht="1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spans="1:18" ht="1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1:18" ht="1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spans="1:18" ht="1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1:18" ht="1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spans="1:18" ht="1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1:18" ht="1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spans="1:18" ht="1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1:18" ht="1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spans="1:18" ht="1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1:18" ht="1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spans="1:18" ht="1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1:18" ht="1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1:18" ht="1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1:18" ht="1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spans="1:18" ht="1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1:18" ht="1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 spans="1:18" ht="1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 spans="1:18" ht="1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 spans="1:18" ht="1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1:18" ht="1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 spans="1:18" ht="1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 spans="1:18" ht="1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 spans="1:18" ht="1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 spans="1:18" ht="1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 spans="1:18" ht="1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 spans="1:18" ht="1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 spans="1:18" ht="1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 spans="1:18" ht="1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 spans="1:18" ht="1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 spans="1:18" ht="1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 spans="1:18" ht="1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 spans="1:18" ht="1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 spans="1:18" ht="1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 spans="1:18" ht="1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 spans="1:18" ht="1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 spans="1:18" ht="1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 spans="1:18" ht="1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 spans="1:18" ht="1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 spans="1:18" ht="1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 spans="1:18" ht="1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 spans="1:18" ht="1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 spans="1:18" ht="1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 spans="1:18" ht="1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 spans="1:18" ht="1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 spans="1:18" ht="1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 spans="1:18" ht="1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 spans="1:18" ht="1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 spans="1:18" ht="1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 spans="1:18" ht="1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 spans="1:18" ht="1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 spans="1:18" ht="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 spans="1:18" ht="1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 spans="1:18" ht="1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 spans="1:18" ht="1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 spans="1:18" ht="1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 spans="1:18" ht="1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 spans="1:18" ht="1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 spans="1:18" ht="1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 spans="1:18" ht="1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 spans="1:18" ht="1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 spans="1:18" ht="1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 spans="1:18" ht="1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 spans="1:18" ht="1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 spans="1:18" ht="1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 spans="1:18" ht="1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 spans="1:18" ht="1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 spans="1:18" ht="1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 spans="1:18" ht="1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 spans="1:18" ht="1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 spans="1:18" ht="1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 spans="1:18" ht="1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 spans="1:18" ht="1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 spans="1:18" ht="1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 spans="1:18" ht="1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 spans="1:18" ht="1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 spans="1:18" ht="1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 spans="1:18" ht="1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 spans="1:18" ht="1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 spans="1:18" ht="1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 spans="1:18" ht="1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 spans="1:18" ht="1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 spans="1:18" ht="1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 spans="1:18" ht="1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 spans="1:18" ht="1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 spans="1:18" ht="1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 spans="1:18" ht="1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 spans="1:18" ht="1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 spans="1:18" ht="1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 spans="1:18" ht="1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 spans="1:18" ht="1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 spans="1:18" ht="1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 spans="1:18" ht="1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 spans="1:18" ht="1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 spans="1:18" ht="1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 spans="1:18" ht="1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 spans="1:18" ht="1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 spans="1:18" ht="1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 spans="1:18" ht="1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 spans="1:18" ht="1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 spans="1:18" ht="1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 spans="1:18" ht="1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 spans="1:18" ht="1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 spans="1:18" ht="1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 spans="1:18" ht="1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 spans="1:18" ht="1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1:18" ht="1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 spans="1:18" ht="1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 spans="1:18" ht="1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 spans="1:18" ht="1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 spans="1:18" ht="1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 spans="1:18" ht="1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 spans="1:18" ht="1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1:18" ht="1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1:18" ht="1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1:18" ht="1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1:18" ht="1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 spans="1:18" ht="1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 spans="1:18" ht="1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 spans="1:18" ht="1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 spans="1:18" ht="1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 spans="1:18" ht="1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 spans="1:18" ht="1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 spans="1:18" ht="1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 spans="1:18" ht="1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 spans="1:18" ht="1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 spans="1:18" ht="1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 spans="1:18" ht="1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 spans="1:18" ht="1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 spans="1:18" ht="1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 spans="1:18" ht="1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 spans="1:18" ht="1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 spans="1:18" ht="1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 spans="1:18" ht="1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 spans="1:18" ht="1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 spans="1:18" ht="1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 spans="1:18" ht="1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 spans="1:18" ht="1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 spans="1:18" ht="1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 spans="1:18" ht="1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 spans="1:18" ht="1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 spans="1:18" ht="1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 spans="1:18" ht="1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 spans="1:18" ht="1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 spans="1:18" ht="1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 spans="1:18" ht="1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 spans="1:18" ht="1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 spans="1:18" ht="1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 spans="1:18" ht="1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 spans="1:18" ht="1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 spans="1:18" ht="1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 spans="1:18" ht="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 spans="1:18" ht="1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 spans="1:18" ht="1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 spans="1:18" ht="1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 spans="1:18" ht="1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 spans="1:18" ht="1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 spans="1:18" ht="1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 spans="1:18" ht="1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 spans="1:18" ht="1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 spans="1:18" ht="1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 spans="1:18" ht="1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 spans="1:18" ht="1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 spans="1:18" ht="1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 spans="1:18" ht="1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 spans="1:18" ht="1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 spans="1:18" ht="1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 spans="1:18" ht="1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 spans="1:18" ht="1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 spans="1:18" ht="1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 spans="1:18" ht="1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 spans="1:18" ht="1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 spans="1:18" ht="1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 spans="1:18" ht="1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 spans="1:18" ht="1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 spans="1:18" ht="1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 spans="1:18" ht="1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 spans="1:18" ht="1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 spans="1:18" ht="1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 spans="1:18" ht="1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 spans="1:18" ht="1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 spans="1:18" ht="1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 spans="1:18" ht="1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 spans="1:18" ht="1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 spans="1:18" ht="1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 spans="1:18" ht="1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 spans="1:18" ht="1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 spans="1:18" ht="1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 spans="1:18" ht="1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 spans="1:18" ht="1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 spans="1:18" ht="1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 spans="1:18" ht="1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 spans="1:18" ht="1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 spans="1:18" ht="1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 spans="1:18" ht="1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 spans="1:18" ht="1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 spans="1:18" ht="1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 spans="1:18" ht="1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 spans="1:18" ht="1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 spans="1:18" ht="1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 spans="1:18" ht="1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 spans="1:18" ht="1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 spans="1:18" ht="1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 spans="1:18" ht="1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 spans="1:18" ht="1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 spans="1:18" ht="1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 spans="1:18" ht="1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 spans="1:18" ht="1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 spans="1:18" ht="1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 spans="1:18" ht="1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 spans="1:18" ht="1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 spans="1:18" ht="1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 spans="1:18" ht="1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 spans="1:18" ht="1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 spans="1:18" ht="1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 spans="1:18" ht="1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 spans="1:18" ht="1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 spans="1:18" ht="1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 spans="1:18" ht="1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 spans="1:18" ht="1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 spans="1:18" ht="1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 spans="1:18" ht="1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 spans="1:18" ht="1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 spans="1:18" ht="1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 spans="1:18" ht="1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 spans="1:18" ht="1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 spans="1:18" ht="1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 spans="1:18" ht="1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 spans="1:18" ht="1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 spans="1:18" ht="1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 spans="1:18" ht="1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 spans="1:18" ht="1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 spans="1:18" ht="1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 spans="1:18" ht="1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 spans="1:18" ht="1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 spans="1:18" ht="1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 spans="1:18" ht="1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 spans="1:18" ht="1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 spans="1:18" ht="1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 spans="1:18" ht="1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 spans="1:18" ht="1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 spans="1:18" ht="1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 spans="1:18" ht="1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 spans="1:18" ht="1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 spans="1:18" ht="1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 spans="1:18" ht="1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 spans="1:18" ht="1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 spans="1:18" ht="1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 spans="1:18" ht="1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 spans="1:18" ht="1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 spans="1:18" ht="1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 spans="1:18" ht="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 spans="1:18" ht="1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 spans="1:18" ht="1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 spans="1:18" ht="1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 spans="1:18" ht="1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 spans="1:18" ht="1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 spans="1:18" ht="1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 spans="1:18" ht="1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 spans="1:18" ht="1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 spans="1:18" ht="1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 spans="1:18" ht="1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 spans="1:18" ht="1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 spans="1:18" ht="1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 spans="1:18" ht="1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 spans="1:18" ht="1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 spans="1:18" ht="1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 spans="1:18" ht="1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 spans="1:18" ht="1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 spans="1:18" ht="1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 spans="1:18" ht="1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 spans="1:18" ht="1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 spans="1:18" ht="1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 spans="1:18" ht="1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 spans="1:18" ht="1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 spans="1:18" ht="1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 spans="1:18" ht="1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 spans="1:18" ht="1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 spans="1:18" ht="1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 spans="1:18" ht="1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 spans="1:18" ht="1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 spans="1:18" ht="1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 spans="1:18" ht="1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 spans="1:18" ht="1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 spans="1:18" ht="1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 spans="1:18" ht="1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 spans="1:18" ht="1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 spans="1:18" ht="1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 spans="1:18" ht="1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 spans="1:18" ht="1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 spans="1:18" ht="1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 spans="1:18" ht="1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 spans="1:18" ht="1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 spans="1:18" ht="1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 spans="1:18" ht="1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 spans="1:18" ht="1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 spans="1:18" ht="1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 spans="1:18" ht="1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 spans="1:18" ht="1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 spans="1:18" ht="1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 spans="1:18" ht="1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 spans="1:18" ht="1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 spans="1:18" ht="1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 spans="1:18" ht="1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 spans="1:18" ht="1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 spans="1:18" ht="1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 spans="1:18" ht="1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 spans="1:18" ht="1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 spans="1:18" ht="1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 spans="1:18" ht="1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 spans="1:18" ht="1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 spans="1:18" ht="1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 spans="1:18" ht="1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 spans="1:18" ht="1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 spans="1:18" ht="1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 spans="1:18" ht="1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 spans="1:18" ht="1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 spans="1:18" ht="1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 spans="1:18" ht="1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 spans="1:18" ht="1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 spans="1:18" ht="1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 spans="1:18" ht="1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 spans="1:18" ht="1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 spans="1:18" ht="1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 spans="1:18" ht="1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 spans="1:18" ht="1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 spans="1:18" ht="1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 spans="1:18" ht="1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 spans="1:18" ht="1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 spans="1:18" ht="1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 spans="1:18" ht="1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 spans="1:18" ht="1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 spans="1:18" ht="1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 spans="1:18" ht="1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 spans="1:18" ht="1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 spans="1:18" ht="1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 spans="1:18" ht="1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 spans="1:18" ht="1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 spans="1:18" ht="1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 spans="1:18" ht="1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 spans="1:18" ht="1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 spans="1:18" ht="1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 spans="1:18" ht="1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 spans="1:18" ht="1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 spans="1:18" ht="1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 spans="1:18" ht="1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 spans="1:18" ht="1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 spans="1:18" ht="1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 spans="1:18" ht="1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 spans="1:18" ht="1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 spans="1:18" ht="1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 spans="1:18" ht="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 spans="1:18" ht="1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 spans="1:18" ht="1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 spans="1:18" ht="1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 spans="1:18" ht="1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 spans="1:18" ht="1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 spans="1:18" ht="1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 spans="1:18" ht="1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 spans="1:18" ht="1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 spans="1:18" ht="1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 spans="1:18" ht="1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 spans="1:18" ht="1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 spans="1:18" ht="1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 spans="1:18" ht="1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 spans="1:18" ht="1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 spans="1:18" ht="1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 spans="1:18" ht="1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 spans="1:18" ht="1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 spans="1:18" ht="1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 spans="1:18" ht="1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 spans="1:18" ht="1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 spans="1:18" ht="1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 spans="1:18" ht="1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 spans="1:18" ht="1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 spans="1:18" ht="1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 spans="1:18" ht="1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 spans="1:18" ht="1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 spans="1:18" ht="1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 spans="1:18" ht="1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 spans="1:18" ht="1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 spans="1:18" ht="1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 spans="1:18" ht="1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 spans="1:18" ht="1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 spans="1:18" ht="1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 spans="1:18" ht="1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 spans="1:18" ht="1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 spans="1:18" ht="1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 spans="1:18" ht="1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 spans="1:18" ht="1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 spans="1:18" ht="1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 spans="1:18" ht="1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 spans="1:18" ht="1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 spans="1:18" ht="1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 spans="1:18" ht="1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 spans="1:18" ht="1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 spans="1:18" ht="1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 spans="1:18" ht="1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 spans="1:18" ht="1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 spans="1:18" ht="1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 spans="1:18" ht="1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 spans="1:18" ht="1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 spans="1:18" ht="1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 spans="1:18" ht="1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 spans="1:18" ht="1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 spans="1:18" ht="1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 spans="1:18" ht="1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 spans="1:18" ht="1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 spans="1:18" ht="1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 spans="1:18" ht="1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 spans="1:18" ht="1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 spans="1:18" ht="1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 spans="1:18" ht="1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 spans="1:18" ht="1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 spans="1:18" ht="1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 spans="1:18" ht="1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 spans="1:18" ht="1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 spans="1:18" ht="1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 spans="1:18" ht="1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 spans="1:18" ht="1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 spans="1:18" ht="1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 spans="1:18" ht="1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 spans="1:18" ht="1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 spans="1:18" ht="1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 spans="1:18" ht="1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 spans="1:18" ht="1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 spans="1:18" ht="1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 spans="1:18" ht="1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 spans="1:18" ht="1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 spans="1:18" ht="1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 spans="1:18" ht="1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 spans="1:18" ht="1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 spans="1:18" ht="1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 spans="1:18" ht="1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 spans="1:18" ht="1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 spans="1:18" ht="1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 spans="1:18" ht="1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 spans="1:18" ht="1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 spans="1:18" ht="1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 spans="1:18" ht="1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 spans="1:18" ht="1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 spans="1:18" ht="1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 spans="1:18" ht="1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 spans="1:18" ht="1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 spans="1:18" ht="1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 spans="1:18" ht="1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 spans="1:18" ht="1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 spans="1:18" ht="1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 spans="1:18" ht="1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 spans="1:18" ht="1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 spans="1:18" ht="1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 spans="1:18" ht="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 spans="1:18" ht="1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 spans="1:18" ht="1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 spans="1:18" ht="1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 spans="1:18" ht="1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 spans="1:18" ht="1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 spans="1:18" ht="1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 spans="1:18" ht="1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 spans="1:18" ht="1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 spans="1:18" ht="1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 spans="1:18" ht="1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 spans="1:18" ht="1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 spans="1:18" ht="1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 spans="1:18" ht="1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 spans="1:18" ht="1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 spans="1:18" ht="1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 spans="1:18" ht="1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 spans="1:18" ht="1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 spans="1:18" ht="1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 spans="1:18" ht="1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 spans="1:18" ht="1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 spans="1:18" ht="1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 spans="1:18" ht="1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 spans="1:18" ht="1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 spans="1:18" ht="1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 spans="1:18" ht="1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 spans="1:18" ht="1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 spans="1:18" ht="1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 spans="1:18" ht="1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 spans="1:18" ht="1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 spans="1:18" ht="1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 spans="1:18" ht="1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 spans="1:18" ht="1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 spans="1:18" ht="1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 spans="1:18" ht="1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 spans="1:18" ht="1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 spans="1:18" ht="1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 spans="1:18" ht="1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 spans="1:18" ht="1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 spans="1:18" ht="1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 spans="1:18" ht="1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 spans="1:18" ht="1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 spans="1:18" ht="1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 spans="1:18" ht="1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 spans="1:18" ht="1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 spans="1:18" ht="1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 spans="1:18" ht="1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 spans="1:18" ht="1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 spans="1:18" ht="1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 spans="1:18" ht="1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 spans="1:18" ht="1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 spans="1:18" ht="1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 spans="1:18" ht="1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 spans="1:18" ht="1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 spans="1:18" ht="1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 spans="1:18" ht="1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 spans="1:18" ht="1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 spans="1:18" ht="1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 spans="1:18" ht="1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 spans="1:18" ht="1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 spans="1:18" ht="1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 spans="1:18" ht="1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 spans="1:18" ht="1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 spans="1:18" ht="1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 spans="1:18" ht="1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 spans="1:18" ht="1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 spans="1:18" ht="1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 spans="1:18" ht="1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 spans="1:18" ht="1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 spans="1:18" ht="1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 spans="1:18" ht="1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 spans="1:18" ht="1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 spans="1:18" ht="1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 spans="1:18" ht="1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 spans="1:18" ht="1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 spans="1:18" ht="1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 spans="1:18" ht="1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 spans="1:18" ht="1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 spans="1:18" ht="1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 spans="1:18" ht="1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 spans="1:18" ht="1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 spans="1:18" ht="1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 spans="1:18" ht="1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 spans="1:18" ht="1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 spans="1:18" ht="1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 spans="1:18" ht="1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 spans="1:18" ht="1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 spans="1:18" ht="1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 spans="1:18" ht="1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 spans="1:18" ht="1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 spans="1:18" ht="1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 spans="1:18" ht="1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 spans="1:18" ht="1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 spans="1:18" ht="1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 spans="1:18" ht="1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 spans="1:18" ht="1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 spans="1:18" ht="1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 spans="1:18" ht="1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 spans="1:18" ht="1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 spans="1:18" ht="1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 spans="1:18" ht="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 spans="1:18" ht="1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 spans="1:18" ht="1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 spans="1:18" ht="1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 spans="1:18" ht="1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 spans="1:18" ht="1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 spans="1:18" ht="1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 spans="1:18" ht="1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 spans="1:18" ht="1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 spans="1:18" ht="1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 spans="1:18" ht="1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 spans="1:18" ht="1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 spans="1:18" ht="1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 spans="1:18" ht="1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 spans="1:18" ht="1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 spans="1:18" ht="1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 spans="1:18" ht="1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 spans="1:18" ht="1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 spans="1:18" ht="1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 spans="1:18" ht="1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 spans="1:18" ht="1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 spans="1:18" ht="1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 spans="1:18" ht="1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 spans="1:18" ht="1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 spans="1:18" ht="1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 spans="1:18" ht="1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 spans="1:18" ht="1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 spans="1:18" ht="1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 spans="1:18" ht="1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 spans="1:18" ht="1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 spans="1:18" ht="1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 spans="1:18" ht="1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 spans="1:18" ht="1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 spans="1:18" ht="1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 spans="1:18" ht="1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 spans="1:18" ht="1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 spans="1:18" ht="1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 spans="1:18" ht="1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 spans="1:18" ht="1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 spans="1:18" ht="1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 spans="1:18" ht="1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 spans="1:18" ht="1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 spans="1:18" ht="1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 spans="1:18" ht="1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 spans="1:18" ht="1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 spans="1:18" ht="1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 spans="1:18" ht="1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 spans="1:18" ht="1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 spans="1:18" ht="1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 spans="1:18" ht="1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 spans="1:18" ht="1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 spans="1:18" ht="1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 spans="1:18" ht="1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 spans="1:18" ht="1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 spans="1:18" ht="1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 spans="1:18" ht="1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 spans="1:18" ht="1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 spans="1:18" ht="1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 spans="1:18" ht="1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 spans="1:18" ht="1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 spans="1:18" ht="1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 spans="1:18" ht="1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 spans="1:18" ht="1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 spans="1:18" ht="1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 spans="1:18" ht="1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 spans="1:18" ht="1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 spans="1:18" ht="1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 spans="1:18" ht="1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 spans="1:18" ht="1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 spans="1:18" ht="1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 spans="1:18" ht="1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 spans="1:18" ht="1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 spans="1:18" ht="1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 spans="1:18" ht="1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 spans="1:18" ht="1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 spans="1:18" ht="1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 spans="1:18" ht="1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 spans="1:18" ht="1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 spans="1:18" ht="1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 spans="1:18" ht="1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 spans="1:18" ht="1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 spans="1:18" ht="1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 spans="1:18" ht="1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 spans="1:18" ht="1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 spans="1:18" ht="1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 spans="1:18" ht="1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 spans="1:18" ht="1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 spans="1:18" ht="1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 spans="1:18" ht="1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 spans="1:18" ht="1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 spans="1:18" ht="1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 spans="1:18" ht="1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 spans="1:18" ht="1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 spans="1:18" ht="1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 spans="1:18" ht="1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 spans="1:18" ht="1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 spans="1:18" ht="1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 spans="1:18" ht="1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 spans="1:18" ht="1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 spans="1:18" ht="1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 spans="1:18" ht="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  <row r="817" spans="1:18" ht="1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</row>
    <row r="818" spans="1:18" ht="1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</row>
    <row r="819" spans="1:18" ht="1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</row>
    <row r="820" spans="1:18" ht="1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</row>
    <row r="821" spans="1:18" ht="1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</row>
    <row r="822" spans="1:18" ht="1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</row>
    <row r="823" spans="1:18" ht="1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</row>
    <row r="824" spans="1:18" ht="1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</row>
    <row r="825" spans="1:18" ht="1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</row>
    <row r="826" spans="1:18" ht="1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</row>
    <row r="827" spans="1:18" ht="1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</row>
    <row r="828" spans="1:18" ht="1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</row>
    <row r="829" spans="1:18" ht="1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</row>
    <row r="830" spans="1:18" ht="1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</row>
    <row r="831" spans="1:18" ht="1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</row>
    <row r="832" spans="1:18" ht="1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</row>
    <row r="833" spans="1:18" ht="1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</row>
    <row r="834" spans="1:18" ht="1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</row>
    <row r="835" spans="1:18" ht="1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</row>
    <row r="836" spans="1:18" ht="1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</row>
    <row r="837" spans="1:18" ht="1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</row>
    <row r="838" spans="1:18" ht="1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</row>
    <row r="839" spans="1:18" ht="1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</row>
    <row r="840" spans="1:18" ht="1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</row>
    <row r="841" spans="1:18" ht="1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</row>
    <row r="842" spans="1:18" ht="1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</row>
    <row r="843" spans="1:18" ht="1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</row>
    <row r="844" spans="1:18" ht="1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</row>
    <row r="845" spans="1:18" ht="1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</row>
    <row r="846" spans="1:18" ht="1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</row>
    <row r="847" spans="1:18" ht="1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</row>
    <row r="848" spans="1:18" ht="1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</row>
    <row r="849" spans="1:18" ht="1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</row>
    <row r="850" spans="1:18" ht="1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</row>
    <row r="851" spans="1:18" ht="1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</row>
    <row r="852" spans="1:18" ht="1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</row>
    <row r="853" spans="1:18" ht="1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</row>
    <row r="854" spans="1:18" ht="1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</row>
    <row r="855" spans="1:18" ht="1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</row>
    <row r="856" spans="1:18" ht="1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</row>
    <row r="857" spans="1:18" ht="1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</row>
    <row r="858" spans="1:18" ht="1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</row>
    <row r="859" spans="1:18" ht="1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</row>
    <row r="860" spans="1:18" ht="1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</row>
    <row r="861" spans="1:18" ht="1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</row>
    <row r="862" spans="1:18" ht="1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</row>
    <row r="863" spans="1:18" ht="1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</row>
    <row r="864" spans="1:18" ht="1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</row>
    <row r="865" spans="1:18" ht="1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</row>
    <row r="866" spans="1:18" ht="1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</row>
    <row r="867" spans="1:18" ht="1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</row>
    <row r="868" spans="1:18" ht="1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</row>
    <row r="869" spans="1:18" ht="1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</row>
    <row r="870" spans="1:18" ht="1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</row>
    <row r="871" spans="1:18" ht="1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</row>
    <row r="872" spans="1:18" ht="1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</row>
    <row r="873" spans="1:18" ht="1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</row>
    <row r="874" spans="1:18" ht="1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</row>
    <row r="875" spans="1:18" ht="1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</row>
    <row r="876" spans="1:18" ht="1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</row>
    <row r="877" spans="1:18" ht="1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</row>
    <row r="878" spans="1:18" ht="1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</row>
    <row r="879" spans="1:18" ht="1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</row>
    <row r="880" spans="1:18" ht="1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</row>
    <row r="881" spans="1:18" ht="1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</row>
    <row r="882" spans="1:18" ht="1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</row>
    <row r="883" spans="1:18" ht="1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</row>
    <row r="884" spans="1:18" ht="1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</row>
    <row r="885" spans="1:18" ht="1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</row>
    <row r="886" spans="1:18" ht="1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</row>
    <row r="887" spans="1:18" ht="1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</row>
    <row r="888" spans="1:18" ht="1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</row>
    <row r="889" spans="1:18" ht="1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</row>
    <row r="890" spans="1:18" ht="1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</row>
    <row r="891" spans="1:18" ht="1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</row>
    <row r="892" spans="1:18" ht="1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</row>
    <row r="893" spans="1:18" ht="1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 spans="1:18" ht="1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 spans="1:18" ht="1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</row>
    <row r="896" spans="1:18" ht="1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</row>
    <row r="897" spans="1:18" ht="1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 spans="1:18" ht="1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</row>
    <row r="899" spans="1:18" ht="1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 spans="1:18" ht="1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</row>
    <row r="901" spans="1:18" ht="1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</row>
    <row r="902" spans="1:18" ht="1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</row>
    <row r="903" spans="1:18" ht="1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</row>
    <row r="904" spans="1:18" ht="1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</row>
    <row r="905" spans="1:18" ht="1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</row>
    <row r="906" spans="1:18" ht="1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</row>
    <row r="907" spans="1:18" ht="1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</row>
    <row r="908" spans="1:18" ht="1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</row>
    <row r="909" spans="1:18" ht="1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</row>
    <row r="910" spans="1:18" ht="1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</row>
    <row r="911" spans="1:18" ht="1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</row>
    <row r="912" spans="1:18" ht="1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</row>
    <row r="913" spans="1:18" ht="1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</row>
    <row r="914" spans="1:18" ht="1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</row>
    <row r="915" spans="1:18" ht="1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</row>
    <row r="916" spans="1:18" ht="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</row>
    <row r="917" spans="1:18" ht="1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</row>
    <row r="918" spans="1:18" ht="1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</row>
    <row r="919" spans="1:18" ht="1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</row>
    <row r="920" spans="1:18" ht="1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</row>
    <row r="921" spans="1:18" ht="1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</row>
    <row r="922" spans="1:18" ht="1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</row>
    <row r="923" spans="1:18" ht="1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</row>
    <row r="924" spans="1:18" ht="1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</row>
    <row r="925" spans="1:18" ht="1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</row>
    <row r="926" spans="1:18" ht="1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</row>
    <row r="927" spans="1:18" ht="1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</row>
    <row r="928" spans="1:18" ht="1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</row>
    <row r="929" spans="1:18" ht="1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 spans="1:18" ht="1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</row>
    <row r="931" spans="1:18" ht="1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</row>
    <row r="932" spans="1:18" ht="1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</row>
    <row r="933" spans="1:18" ht="1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</row>
    <row r="934" spans="1:18" ht="1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</row>
    <row r="935" spans="1:18" ht="1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</row>
    <row r="936" spans="1:18" ht="1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</row>
    <row r="937" spans="1:18" ht="1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</row>
    <row r="938" spans="1:18" ht="1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</row>
    <row r="939" spans="1:18" ht="1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</row>
    <row r="940" spans="1:18" ht="1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</row>
    <row r="941" spans="1:18" ht="1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</row>
    <row r="942" spans="1:18" ht="1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</row>
    <row r="943" spans="1:18" ht="1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</row>
    <row r="944" spans="1:18" ht="1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</row>
    <row r="945" spans="1:18" ht="1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</row>
    <row r="946" spans="1:18" ht="1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</row>
    <row r="947" spans="1:18" ht="1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</row>
    <row r="948" spans="1:18" ht="1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</row>
    <row r="949" spans="1:18" ht="1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</row>
    <row r="950" spans="1:18" ht="1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</row>
    <row r="951" spans="1:18" ht="1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</row>
    <row r="952" spans="1:18" ht="1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</row>
    <row r="953" spans="1:18" ht="1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</row>
    <row r="954" spans="1:18" ht="1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</row>
    <row r="955" spans="1:18" ht="1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</row>
    <row r="956" spans="1:18" ht="1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</row>
    <row r="957" spans="1:18" ht="1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</row>
    <row r="958" spans="1:18" ht="1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</row>
    <row r="959" spans="1:18" ht="1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</row>
    <row r="960" spans="1:18" ht="1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</row>
    <row r="961" spans="1:18" ht="1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</row>
    <row r="962" spans="1:18" ht="1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</row>
    <row r="963" spans="1:18" ht="1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</row>
    <row r="964" spans="1:18" ht="1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</row>
    <row r="965" spans="1:18" ht="1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</row>
    <row r="966" spans="1:18" ht="1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</row>
    <row r="967" spans="1:18" ht="1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</row>
    <row r="968" spans="1:18" ht="1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</row>
    <row r="969" spans="1:18" ht="1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</row>
    <row r="970" spans="1:18" ht="1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</row>
    <row r="971" spans="1:18" ht="1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</row>
    <row r="972" spans="1:18" ht="1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</row>
    <row r="973" spans="1:18" ht="1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</row>
    <row r="974" spans="1:18" ht="1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</row>
    <row r="975" spans="1:18" ht="1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</row>
    <row r="976" spans="1:18" ht="1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</row>
    <row r="977" spans="1:18" ht="1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</row>
    <row r="978" spans="1:18" ht="1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</row>
    <row r="979" spans="1:18" ht="1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</row>
    <row r="980" spans="1:18" ht="1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</row>
    <row r="981" spans="1:18" ht="1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</row>
    <row r="982" spans="1:18" ht="1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</row>
    <row r="983" spans="1:18" ht="1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</row>
    <row r="984" spans="1:18" ht="1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</row>
    <row r="985" spans="1:18" ht="1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</row>
    <row r="986" spans="1:18" ht="1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</row>
    <row r="987" spans="1:18" ht="1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</row>
    <row r="988" spans="1:18" ht="1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</row>
    <row r="989" spans="1:18" ht="1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</row>
    <row r="990" spans="1:18" ht="1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</row>
    <row r="991" spans="1:18" ht="1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</row>
    <row r="992" spans="1:18" ht="1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</row>
    <row r="993" spans="1:18" ht="1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</row>
    <row r="994" spans="1:18" ht="1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</row>
    <row r="995" spans="1:18" ht="1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</row>
    <row r="996" spans="1:18" ht="1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</row>
    <row r="997" spans="1:18" ht="1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</row>
    <row r="998" spans="1:18" ht="1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</row>
    <row r="999" spans="1:18" ht="1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</row>
    <row r="1000" spans="1:18" ht="1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</row>
    <row r="1001" spans="1:18" ht="16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</row>
    <row r="1002" spans="1:18" ht="16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38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2.6640625" defaultRowHeight="15.75" customHeight="1"/>
  <cols>
    <col min="2" max="2" width="12.5" customWidth="1"/>
    <col min="3" max="3" width="23.6640625" customWidth="1"/>
    <col min="4" max="4" width="17.83203125" customWidth="1"/>
    <col min="5" max="5" width="11.5" customWidth="1"/>
    <col min="6" max="6" width="11.6640625" customWidth="1"/>
    <col min="7" max="7" width="12.1640625" customWidth="1"/>
  </cols>
  <sheetData>
    <row r="1" spans="1:19" ht="15.75" customHeight="1">
      <c r="A1" s="48" t="s">
        <v>0</v>
      </c>
      <c r="B1" s="48" t="s">
        <v>143</v>
      </c>
      <c r="C1" s="48" t="s">
        <v>1</v>
      </c>
      <c r="D1" s="48" t="s">
        <v>2</v>
      </c>
      <c r="E1" s="48" t="s">
        <v>3</v>
      </c>
      <c r="F1" s="48" t="s">
        <v>4</v>
      </c>
      <c r="G1" s="48" t="s">
        <v>5</v>
      </c>
      <c r="H1" s="48" t="s">
        <v>6</v>
      </c>
      <c r="I1" s="49" t="s">
        <v>8</v>
      </c>
      <c r="J1" s="49" t="s">
        <v>7</v>
      </c>
      <c r="K1" s="49" t="s">
        <v>9</v>
      </c>
      <c r="L1" s="49" t="s">
        <v>10</v>
      </c>
      <c r="M1" s="48" t="s">
        <v>11</v>
      </c>
      <c r="N1" s="48" t="s">
        <v>12</v>
      </c>
      <c r="O1" s="50" t="s">
        <v>13</v>
      </c>
      <c r="P1" s="48" t="s">
        <v>14</v>
      </c>
      <c r="Q1" s="49" t="s">
        <v>15</v>
      </c>
      <c r="R1" s="49" t="s">
        <v>16</v>
      </c>
      <c r="S1" s="48" t="s">
        <v>17</v>
      </c>
    </row>
    <row r="2" spans="1:19" ht="15.75" customHeight="1">
      <c r="A2" s="51">
        <v>1</v>
      </c>
      <c r="B2" s="26"/>
      <c r="C2" s="26" t="s">
        <v>18</v>
      </c>
      <c r="D2" s="26" t="s">
        <v>19</v>
      </c>
      <c r="E2" s="52">
        <v>2350</v>
      </c>
      <c r="F2" s="53">
        <f t="shared" ref="F2:F3" si="0">E2*90</f>
        <v>211500</v>
      </c>
      <c r="G2" s="14">
        <v>145000</v>
      </c>
      <c r="H2" s="14">
        <f t="shared" ref="H2:H3" si="1">394437/43</f>
        <v>9172.9534883720935</v>
      </c>
      <c r="I2" s="14">
        <f t="shared" ref="I2:I3" si="2">2535504/48</f>
        <v>52823</v>
      </c>
      <c r="J2" s="14">
        <f t="shared" ref="J2:J3" si="3">1784084/48</f>
        <v>37168.416666666664</v>
      </c>
      <c r="K2" s="14">
        <f t="shared" ref="K2:K3" si="4">488354/43</f>
        <v>11357.069767441861</v>
      </c>
      <c r="L2" s="53">
        <f t="shared" ref="L2:L3" si="5">611888/43</f>
        <v>14229.953488372093</v>
      </c>
      <c r="M2" s="53">
        <f t="shared" ref="M2:M3" si="6">147553/43</f>
        <v>3431.4651162790697</v>
      </c>
      <c r="N2" s="53">
        <f t="shared" ref="N2:N3" si="7">1140826/43</f>
        <v>26530.837209302324</v>
      </c>
      <c r="O2" s="53">
        <f t="shared" ref="O2:O3" si="8">738073/43</f>
        <v>17164.488372093023</v>
      </c>
      <c r="P2" s="14">
        <f t="shared" ref="P2:P3" si="9">143992/43</f>
        <v>3348.6511627906975</v>
      </c>
      <c r="Q2" s="14">
        <f t="shared" ref="Q2:Q3" si="10">61432/43</f>
        <v>1428.6511627906978</v>
      </c>
      <c r="R2" s="53">
        <f t="shared" ref="R2:R3" si="11">20562/43</f>
        <v>478.18604651162792</v>
      </c>
      <c r="S2" s="53">
        <f t="shared" ref="S2:S3" si="12">F2-SUM(G2:R2)</f>
        <v>-110633.67248062021</v>
      </c>
    </row>
    <row r="3" spans="1:19" ht="15.75" customHeight="1">
      <c r="A3" s="51">
        <v>2</v>
      </c>
      <c r="B3" s="26"/>
      <c r="C3" s="26" t="s">
        <v>18</v>
      </c>
      <c r="D3" s="26" t="s">
        <v>20</v>
      </c>
      <c r="E3" s="52">
        <v>2200</v>
      </c>
      <c r="F3" s="53">
        <f t="shared" si="0"/>
        <v>198000</v>
      </c>
      <c r="G3" s="14">
        <v>56980</v>
      </c>
      <c r="H3" s="14">
        <f t="shared" si="1"/>
        <v>9172.9534883720935</v>
      </c>
      <c r="I3" s="14">
        <f t="shared" si="2"/>
        <v>52823</v>
      </c>
      <c r="J3" s="14">
        <f t="shared" si="3"/>
        <v>37168.416666666664</v>
      </c>
      <c r="K3" s="14">
        <f t="shared" si="4"/>
        <v>11357.069767441861</v>
      </c>
      <c r="L3" s="53">
        <f t="shared" si="5"/>
        <v>14229.953488372093</v>
      </c>
      <c r="M3" s="53">
        <f t="shared" si="6"/>
        <v>3431.4651162790697</v>
      </c>
      <c r="N3" s="53">
        <f t="shared" si="7"/>
        <v>26530.837209302324</v>
      </c>
      <c r="O3" s="53">
        <f t="shared" si="8"/>
        <v>17164.488372093023</v>
      </c>
      <c r="P3" s="14">
        <f t="shared" si="9"/>
        <v>3348.6511627906975</v>
      </c>
      <c r="Q3" s="14">
        <f t="shared" si="10"/>
        <v>1428.6511627906978</v>
      </c>
      <c r="R3" s="53">
        <f t="shared" si="11"/>
        <v>478.18604651162792</v>
      </c>
      <c r="S3" s="53">
        <f t="shared" si="12"/>
        <v>-36113.672480620153</v>
      </c>
    </row>
    <row r="4" spans="1:19" ht="15.75" customHeight="1">
      <c r="A4" s="51">
        <v>3</v>
      </c>
      <c r="B4" s="26"/>
      <c r="C4" s="26" t="s">
        <v>18</v>
      </c>
      <c r="D4" s="26" t="s">
        <v>144</v>
      </c>
      <c r="E4" s="52">
        <v>2500</v>
      </c>
      <c r="F4" s="53"/>
      <c r="G4" s="14">
        <v>49348</v>
      </c>
      <c r="H4" s="14"/>
      <c r="I4" s="14"/>
      <c r="J4" s="14"/>
      <c r="K4" s="14"/>
      <c r="L4" s="53"/>
      <c r="M4" s="53"/>
      <c r="N4" s="53"/>
      <c r="O4" s="53"/>
      <c r="P4" s="14"/>
      <c r="Q4" s="14"/>
      <c r="R4" s="53"/>
      <c r="S4" s="26"/>
    </row>
    <row r="5" spans="1:19" ht="15.75" customHeight="1">
      <c r="A5" s="51">
        <v>4</v>
      </c>
      <c r="B5" s="26"/>
      <c r="C5" s="26" t="s">
        <v>21</v>
      </c>
      <c r="D5" s="26" t="s">
        <v>23</v>
      </c>
      <c r="E5" s="52">
        <v>1800</v>
      </c>
      <c r="F5" s="53">
        <f t="shared" ref="F5:F41" si="13">E5*90</f>
        <v>162000</v>
      </c>
      <c r="G5" s="14">
        <v>35800</v>
      </c>
      <c r="H5" s="14">
        <f t="shared" ref="H5:H41" si="14">394437/43</f>
        <v>9172.9534883720935</v>
      </c>
      <c r="I5" s="14">
        <f t="shared" ref="I5:I41" si="15">2535504/48</f>
        <v>52823</v>
      </c>
      <c r="J5" s="14">
        <f t="shared" ref="J5:J41" si="16">1784084/48</f>
        <v>37168.416666666664</v>
      </c>
      <c r="K5" s="14">
        <f t="shared" ref="K5:K41" si="17">488354/43</f>
        <v>11357.069767441861</v>
      </c>
      <c r="L5" s="53">
        <f t="shared" ref="L5:L41" si="18">611888/43</f>
        <v>14229.953488372093</v>
      </c>
      <c r="M5" s="53">
        <f t="shared" ref="M5:M41" si="19">147553/43</f>
        <v>3431.4651162790697</v>
      </c>
      <c r="N5" s="53">
        <f t="shared" ref="N5:N41" si="20">1140826/43</f>
        <v>26530.837209302324</v>
      </c>
      <c r="O5" s="53">
        <f t="shared" ref="O5:O41" si="21">738073/43</f>
        <v>17164.488372093023</v>
      </c>
      <c r="P5" s="14">
        <f t="shared" ref="P5:P41" si="22">143992/43</f>
        <v>3348.6511627906975</v>
      </c>
      <c r="Q5" s="14">
        <f t="shared" ref="Q5:Q41" si="23">61432/43</f>
        <v>1428.6511627906978</v>
      </c>
      <c r="R5" s="53">
        <f t="shared" ref="R5:R41" si="24">20562/43</f>
        <v>478.18604651162792</v>
      </c>
      <c r="S5" s="53">
        <f t="shared" ref="S5:S41" si="25">F5-SUM(G5:R5)</f>
        <v>-50933.672480620153</v>
      </c>
    </row>
    <row r="6" spans="1:19" ht="15.75" customHeight="1">
      <c r="A6" s="51">
        <v>5</v>
      </c>
      <c r="B6" s="26"/>
      <c r="C6" s="26" t="s">
        <v>21</v>
      </c>
      <c r="D6" s="26" t="s">
        <v>22</v>
      </c>
      <c r="E6" s="52">
        <v>2000</v>
      </c>
      <c r="F6" s="53">
        <f t="shared" si="13"/>
        <v>180000</v>
      </c>
      <c r="G6" s="14">
        <v>61072</v>
      </c>
      <c r="H6" s="14">
        <f t="shared" si="14"/>
        <v>9172.9534883720935</v>
      </c>
      <c r="I6" s="14">
        <f t="shared" si="15"/>
        <v>52823</v>
      </c>
      <c r="J6" s="14">
        <f t="shared" si="16"/>
        <v>37168.416666666664</v>
      </c>
      <c r="K6" s="14">
        <f t="shared" si="17"/>
        <v>11357.069767441861</v>
      </c>
      <c r="L6" s="53">
        <f t="shared" si="18"/>
        <v>14229.953488372093</v>
      </c>
      <c r="M6" s="53">
        <f t="shared" si="19"/>
        <v>3431.4651162790697</v>
      </c>
      <c r="N6" s="53">
        <f t="shared" si="20"/>
        <v>26530.837209302324</v>
      </c>
      <c r="O6" s="53">
        <f t="shared" si="21"/>
        <v>17164.488372093023</v>
      </c>
      <c r="P6" s="14">
        <f t="shared" si="22"/>
        <v>3348.6511627906975</v>
      </c>
      <c r="Q6" s="14">
        <f t="shared" si="23"/>
        <v>1428.6511627906978</v>
      </c>
      <c r="R6" s="53">
        <f t="shared" si="24"/>
        <v>478.18604651162792</v>
      </c>
      <c r="S6" s="53">
        <f t="shared" si="25"/>
        <v>-58205.672480620153</v>
      </c>
    </row>
    <row r="7" spans="1:19" ht="15.75" customHeight="1">
      <c r="A7" s="51">
        <v>6</v>
      </c>
      <c r="B7" s="26"/>
      <c r="C7" s="26" t="s">
        <v>27</v>
      </c>
      <c r="D7" s="26" t="s">
        <v>92</v>
      </c>
      <c r="E7" s="6">
        <v>2000</v>
      </c>
      <c r="F7" s="53">
        <f t="shared" si="13"/>
        <v>180000</v>
      </c>
      <c r="G7" s="14">
        <v>68800</v>
      </c>
      <c r="H7" s="14">
        <f t="shared" si="14"/>
        <v>9172.9534883720935</v>
      </c>
      <c r="I7" s="14">
        <f t="shared" si="15"/>
        <v>52823</v>
      </c>
      <c r="J7" s="14">
        <f t="shared" si="16"/>
        <v>37168.416666666664</v>
      </c>
      <c r="K7" s="14">
        <f t="shared" si="17"/>
        <v>11357.069767441861</v>
      </c>
      <c r="L7" s="53">
        <f t="shared" si="18"/>
        <v>14229.953488372093</v>
      </c>
      <c r="M7" s="53">
        <f t="shared" si="19"/>
        <v>3431.4651162790697</v>
      </c>
      <c r="N7" s="53">
        <f t="shared" si="20"/>
        <v>26530.837209302324</v>
      </c>
      <c r="O7" s="53">
        <f t="shared" si="21"/>
        <v>17164.488372093023</v>
      </c>
      <c r="P7" s="14">
        <f t="shared" si="22"/>
        <v>3348.6511627906975</v>
      </c>
      <c r="Q7" s="14">
        <f t="shared" si="23"/>
        <v>1428.6511627906978</v>
      </c>
      <c r="R7" s="53">
        <f t="shared" si="24"/>
        <v>478.18604651162792</v>
      </c>
      <c r="S7" s="53">
        <f t="shared" si="25"/>
        <v>-65933.672480620153</v>
      </c>
    </row>
    <row r="8" spans="1:19" ht="15.75" customHeight="1">
      <c r="A8" s="51">
        <v>7</v>
      </c>
      <c r="B8" s="26"/>
      <c r="C8" s="26" t="s">
        <v>27</v>
      </c>
      <c r="D8" s="26" t="s">
        <v>28</v>
      </c>
      <c r="E8" s="6">
        <v>2275</v>
      </c>
      <c r="F8" s="53">
        <f t="shared" si="13"/>
        <v>204750</v>
      </c>
      <c r="G8" s="14">
        <v>106800</v>
      </c>
      <c r="H8" s="14">
        <f t="shared" si="14"/>
        <v>9172.9534883720935</v>
      </c>
      <c r="I8" s="14">
        <f t="shared" si="15"/>
        <v>52823</v>
      </c>
      <c r="J8" s="14">
        <f t="shared" si="16"/>
        <v>37168.416666666664</v>
      </c>
      <c r="K8" s="14">
        <f t="shared" si="17"/>
        <v>11357.069767441861</v>
      </c>
      <c r="L8" s="53">
        <f t="shared" si="18"/>
        <v>14229.953488372093</v>
      </c>
      <c r="M8" s="53">
        <f t="shared" si="19"/>
        <v>3431.4651162790697</v>
      </c>
      <c r="N8" s="53">
        <f t="shared" si="20"/>
        <v>26530.837209302324</v>
      </c>
      <c r="O8" s="53">
        <f t="shared" si="21"/>
        <v>17164.488372093023</v>
      </c>
      <c r="P8" s="14">
        <f t="shared" si="22"/>
        <v>3348.6511627906975</v>
      </c>
      <c r="Q8" s="14">
        <f t="shared" si="23"/>
        <v>1428.6511627906978</v>
      </c>
      <c r="R8" s="53">
        <f t="shared" si="24"/>
        <v>478.18604651162792</v>
      </c>
      <c r="S8" s="53">
        <f t="shared" si="25"/>
        <v>-79183.672480620211</v>
      </c>
    </row>
    <row r="9" spans="1:19" ht="15.75" customHeight="1">
      <c r="A9" s="51">
        <v>8</v>
      </c>
      <c r="B9" s="26"/>
      <c r="C9" s="26" t="s">
        <v>27</v>
      </c>
      <c r="D9" s="26" t="s">
        <v>109</v>
      </c>
      <c r="E9" s="6">
        <v>2000</v>
      </c>
      <c r="F9" s="53">
        <f t="shared" si="13"/>
        <v>180000</v>
      </c>
      <c r="G9" s="14">
        <v>44800</v>
      </c>
      <c r="H9" s="14">
        <f t="shared" si="14"/>
        <v>9172.9534883720935</v>
      </c>
      <c r="I9" s="14">
        <f t="shared" si="15"/>
        <v>52823</v>
      </c>
      <c r="J9" s="14">
        <f t="shared" si="16"/>
        <v>37168.416666666664</v>
      </c>
      <c r="K9" s="14">
        <f t="shared" si="17"/>
        <v>11357.069767441861</v>
      </c>
      <c r="L9" s="53">
        <f t="shared" si="18"/>
        <v>14229.953488372093</v>
      </c>
      <c r="M9" s="53">
        <f t="shared" si="19"/>
        <v>3431.4651162790697</v>
      </c>
      <c r="N9" s="53">
        <f t="shared" si="20"/>
        <v>26530.837209302324</v>
      </c>
      <c r="O9" s="53">
        <f t="shared" si="21"/>
        <v>17164.488372093023</v>
      </c>
      <c r="P9" s="14">
        <f t="shared" si="22"/>
        <v>3348.6511627906975</v>
      </c>
      <c r="Q9" s="14">
        <f t="shared" si="23"/>
        <v>1428.6511627906978</v>
      </c>
      <c r="R9" s="53">
        <f t="shared" si="24"/>
        <v>478.18604651162792</v>
      </c>
      <c r="S9" s="53">
        <f t="shared" si="25"/>
        <v>-41933.672480620153</v>
      </c>
    </row>
    <row r="10" spans="1:19" ht="15.75" customHeight="1">
      <c r="A10" s="51">
        <v>9</v>
      </c>
      <c r="B10" s="26"/>
      <c r="C10" s="26" t="s">
        <v>30</v>
      </c>
      <c r="D10" s="26" t="s">
        <v>31</v>
      </c>
      <c r="E10" s="6"/>
      <c r="F10" s="53">
        <f t="shared" si="13"/>
        <v>0</v>
      </c>
      <c r="G10" s="14">
        <v>43000</v>
      </c>
      <c r="H10" s="14">
        <f t="shared" si="14"/>
        <v>9172.9534883720935</v>
      </c>
      <c r="I10" s="14">
        <f t="shared" si="15"/>
        <v>52823</v>
      </c>
      <c r="J10" s="14">
        <f t="shared" si="16"/>
        <v>37168.416666666664</v>
      </c>
      <c r="K10" s="14">
        <f t="shared" si="17"/>
        <v>11357.069767441861</v>
      </c>
      <c r="L10" s="53">
        <f t="shared" si="18"/>
        <v>14229.953488372093</v>
      </c>
      <c r="M10" s="53">
        <f t="shared" si="19"/>
        <v>3431.4651162790697</v>
      </c>
      <c r="N10" s="53">
        <f t="shared" si="20"/>
        <v>26530.837209302324</v>
      </c>
      <c r="O10" s="53">
        <f t="shared" si="21"/>
        <v>17164.488372093023</v>
      </c>
      <c r="P10" s="14">
        <f t="shared" si="22"/>
        <v>3348.6511627906975</v>
      </c>
      <c r="Q10" s="14">
        <f t="shared" si="23"/>
        <v>1428.6511627906978</v>
      </c>
      <c r="R10" s="53">
        <f t="shared" si="24"/>
        <v>478.18604651162792</v>
      </c>
      <c r="S10" s="53">
        <f t="shared" si="25"/>
        <v>-220133.67248062015</v>
      </c>
    </row>
    <row r="11" spans="1:19" ht="15.75" customHeight="1">
      <c r="A11" s="51">
        <v>10</v>
      </c>
      <c r="B11" s="26"/>
      <c r="C11" s="26" t="s">
        <v>30</v>
      </c>
      <c r="D11" s="26" t="s">
        <v>32</v>
      </c>
      <c r="E11" s="6"/>
      <c r="F11" s="53">
        <f t="shared" si="13"/>
        <v>0</v>
      </c>
      <c r="G11" s="14">
        <v>36590</v>
      </c>
      <c r="H11" s="14">
        <f t="shared" si="14"/>
        <v>9172.9534883720935</v>
      </c>
      <c r="I11" s="14">
        <f t="shared" si="15"/>
        <v>52823</v>
      </c>
      <c r="J11" s="14">
        <f t="shared" si="16"/>
        <v>37168.416666666664</v>
      </c>
      <c r="K11" s="14">
        <f t="shared" si="17"/>
        <v>11357.069767441861</v>
      </c>
      <c r="L11" s="53">
        <f t="shared" si="18"/>
        <v>14229.953488372093</v>
      </c>
      <c r="M11" s="53">
        <f t="shared" si="19"/>
        <v>3431.4651162790697</v>
      </c>
      <c r="N11" s="53">
        <f t="shared" si="20"/>
        <v>26530.837209302324</v>
      </c>
      <c r="O11" s="53">
        <f t="shared" si="21"/>
        <v>17164.488372093023</v>
      </c>
      <c r="P11" s="14">
        <f t="shared" si="22"/>
        <v>3348.6511627906975</v>
      </c>
      <c r="Q11" s="14">
        <f t="shared" si="23"/>
        <v>1428.6511627906978</v>
      </c>
      <c r="R11" s="53">
        <f t="shared" si="24"/>
        <v>478.18604651162792</v>
      </c>
      <c r="S11" s="53">
        <f t="shared" si="25"/>
        <v>-213723.67248062015</v>
      </c>
    </row>
    <row r="12" spans="1:19" ht="15.75" customHeight="1">
      <c r="A12" s="51">
        <v>11</v>
      </c>
      <c r="B12" s="26"/>
      <c r="C12" s="26" t="s">
        <v>30</v>
      </c>
      <c r="D12" s="26" t="s">
        <v>33</v>
      </c>
      <c r="E12" s="6"/>
      <c r="F12" s="53">
        <f t="shared" si="13"/>
        <v>0</v>
      </c>
      <c r="G12" s="14">
        <v>44600</v>
      </c>
      <c r="H12" s="14">
        <f t="shared" si="14"/>
        <v>9172.9534883720935</v>
      </c>
      <c r="I12" s="14">
        <f t="shared" si="15"/>
        <v>52823</v>
      </c>
      <c r="J12" s="14">
        <f t="shared" si="16"/>
        <v>37168.416666666664</v>
      </c>
      <c r="K12" s="14">
        <f t="shared" si="17"/>
        <v>11357.069767441861</v>
      </c>
      <c r="L12" s="53">
        <f t="shared" si="18"/>
        <v>14229.953488372093</v>
      </c>
      <c r="M12" s="53">
        <f t="shared" si="19"/>
        <v>3431.4651162790697</v>
      </c>
      <c r="N12" s="53">
        <f t="shared" si="20"/>
        <v>26530.837209302324</v>
      </c>
      <c r="O12" s="53">
        <f t="shared" si="21"/>
        <v>17164.488372093023</v>
      </c>
      <c r="P12" s="14">
        <f t="shared" si="22"/>
        <v>3348.6511627906975</v>
      </c>
      <c r="Q12" s="14">
        <f t="shared" si="23"/>
        <v>1428.6511627906978</v>
      </c>
      <c r="R12" s="53">
        <f t="shared" si="24"/>
        <v>478.18604651162792</v>
      </c>
      <c r="S12" s="53">
        <f t="shared" si="25"/>
        <v>-221733.67248062015</v>
      </c>
    </row>
    <row r="13" spans="1:19" ht="15.75" customHeight="1">
      <c r="A13" s="51">
        <v>12</v>
      </c>
      <c r="B13" s="26"/>
      <c r="C13" s="26" t="s">
        <v>34</v>
      </c>
      <c r="D13" s="28" t="s">
        <v>35</v>
      </c>
      <c r="E13" s="6">
        <v>2200</v>
      </c>
      <c r="F13" s="53">
        <f t="shared" si="13"/>
        <v>198000</v>
      </c>
      <c r="G13" s="14">
        <v>101076</v>
      </c>
      <c r="H13" s="14">
        <f t="shared" si="14"/>
        <v>9172.9534883720935</v>
      </c>
      <c r="I13" s="14">
        <f t="shared" si="15"/>
        <v>52823</v>
      </c>
      <c r="J13" s="14">
        <f t="shared" si="16"/>
        <v>37168.416666666664</v>
      </c>
      <c r="K13" s="14">
        <f t="shared" si="17"/>
        <v>11357.069767441861</v>
      </c>
      <c r="L13" s="53">
        <f t="shared" si="18"/>
        <v>14229.953488372093</v>
      </c>
      <c r="M13" s="53">
        <f t="shared" si="19"/>
        <v>3431.4651162790697</v>
      </c>
      <c r="N13" s="53">
        <f t="shared" si="20"/>
        <v>26530.837209302324</v>
      </c>
      <c r="O13" s="53">
        <f t="shared" si="21"/>
        <v>17164.488372093023</v>
      </c>
      <c r="P13" s="14">
        <f t="shared" si="22"/>
        <v>3348.6511627906975</v>
      </c>
      <c r="Q13" s="14">
        <f t="shared" si="23"/>
        <v>1428.6511627906978</v>
      </c>
      <c r="R13" s="53">
        <f t="shared" si="24"/>
        <v>478.18604651162792</v>
      </c>
      <c r="S13" s="53">
        <f t="shared" si="25"/>
        <v>-80209.672480620211</v>
      </c>
    </row>
    <row r="14" spans="1:19" ht="15.75" customHeight="1">
      <c r="A14" s="51">
        <v>13</v>
      </c>
      <c r="B14" s="26"/>
      <c r="C14" s="26" t="s">
        <v>34</v>
      </c>
      <c r="D14" s="54" t="s">
        <v>37</v>
      </c>
      <c r="E14" s="6">
        <v>2300</v>
      </c>
      <c r="F14" s="53">
        <f t="shared" si="13"/>
        <v>207000</v>
      </c>
      <c r="G14" s="14">
        <v>89115</v>
      </c>
      <c r="H14" s="14">
        <f t="shared" si="14"/>
        <v>9172.9534883720935</v>
      </c>
      <c r="I14" s="14">
        <f t="shared" si="15"/>
        <v>52823</v>
      </c>
      <c r="J14" s="14">
        <f t="shared" si="16"/>
        <v>37168.416666666664</v>
      </c>
      <c r="K14" s="14">
        <f t="shared" si="17"/>
        <v>11357.069767441861</v>
      </c>
      <c r="L14" s="53">
        <f t="shared" si="18"/>
        <v>14229.953488372093</v>
      </c>
      <c r="M14" s="53">
        <f t="shared" si="19"/>
        <v>3431.4651162790697</v>
      </c>
      <c r="N14" s="53">
        <f t="shared" si="20"/>
        <v>26530.837209302324</v>
      </c>
      <c r="O14" s="53">
        <f t="shared" si="21"/>
        <v>17164.488372093023</v>
      </c>
      <c r="P14" s="14">
        <f t="shared" si="22"/>
        <v>3348.6511627906975</v>
      </c>
      <c r="Q14" s="14">
        <f t="shared" si="23"/>
        <v>1428.6511627906978</v>
      </c>
      <c r="R14" s="53">
        <f t="shared" si="24"/>
        <v>478.18604651162792</v>
      </c>
      <c r="S14" s="53">
        <f t="shared" si="25"/>
        <v>-59248.672480620211</v>
      </c>
    </row>
    <row r="15" spans="1:19" ht="15.75" customHeight="1">
      <c r="A15" s="51">
        <v>14</v>
      </c>
      <c r="B15" s="26"/>
      <c r="C15" s="26" t="s">
        <v>34</v>
      </c>
      <c r="D15" s="54" t="s">
        <v>38</v>
      </c>
      <c r="E15" s="6">
        <v>2000</v>
      </c>
      <c r="F15" s="53">
        <f t="shared" si="13"/>
        <v>180000</v>
      </c>
      <c r="G15" s="14">
        <v>62027</v>
      </c>
      <c r="H15" s="14">
        <f t="shared" si="14"/>
        <v>9172.9534883720935</v>
      </c>
      <c r="I15" s="14">
        <f t="shared" si="15"/>
        <v>52823</v>
      </c>
      <c r="J15" s="14">
        <f t="shared" si="16"/>
        <v>37168.416666666664</v>
      </c>
      <c r="K15" s="14">
        <f t="shared" si="17"/>
        <v>11357.069767441861</v>
      </c>
      <c r="L15" s="53">
        <f t="shared" si="18"/>
        <v>14229.953488372093</v>
      </c>
      <c r="M15" s="53">
        <f t="shared" si="19"/>
        <v>3431.4651162790697</v>
      </c>
      <c r="N15" s="53">
        <f t="shared" si="20"/>
        <v>26530.837209302324</v>
      </c>
      <c r="O15" s="53">
        <f t="shared" si="21"/>
        <v>17164.488372093023</v>
      </c>
      <c r="P15" s="14">
        <f t="shared" si="22"/>
        <v>3348.6511627906975</v>
      </c>
      <c r="Q15" s="14">
        <f t="shared" si="23"/>
        <v>1428.6511627906978</v>
      </c>
      <c r="R15" s="53">
        <f t="shared" si="24"/>
        <v>478.18604651162792</v>
      </c>
      <c r="S15" s="53">
        <f t="shared" si="25"/>
        <v>-59160.672480620153</v>
      </c>
    </row>
    <row r="16" spans="1:19" ht="15.75" customHeight="1">
      <c r="A16" s="51">
        <v>15</v>
      </c>
      <c r="B16" s="26"/>
      <c r="C16" s="26" t="s">
        <v>34</v>
      </c>
      <c r="D16" s="54" t="s">
        <v>40</v>
      </c>
      <c r="E16" s="6">
        <v>1800</v>
      </c>
      <c r="F16" s="53">
        <f t="shared" si="13"/>
        <v>162000</v>
      </c>
      <c r="G16" s="14">
        <v>48800</v>
      </c>
      <c r="H16" s="14">
        <f t="shared" si="14"/>
        <v>9172.9534883720935</v>
      </c>
      <c r="I16" s="14">
        <f t="shared" si="15"/>
        <v>52823</v>
      </c>
      <c r="J16" s="14">
        <f t="shared" si="16"/>
        <v>37168.416666666664</v>
      </c>
      <c r="K16" s="14">
        <f t="shared" si="17"/>
        <v>11357.069767441861</v>
      </c>
      <c r="L16" s="53">
        <f t="shared" si="18"/>
        <v>14229.953488372093</v>
      </c>
      <c r="M16" s="53">
        <f t="shared" si="19"/>
        <v>3431.4651162790697</v>
      </c>
      <c r="N16" s="53">
        <f t="shared" si="20"/>
        <v>26530.837209302324</v>
      </c>
      <c r="O16" s="53">
        <f t="shared" si="21"/>
        <v>17164.488372093023</v>
      </c>
      <c r="P16" s="14">
        <f t="shared" si="22"/>
        <v>3348.6511627906975</v>
      </c>
      <c r="Q16" s="14">
        <f t="shared" si="23"/>
        <v>1428.6511627906978</v>
      </c>
      <c r="R16" s="53">
        <f t="shared" si="24"/>
        <v>478.18604651162792</v>
      </c>
      <c r="S16" s="53">
        <f t="shared" si="25"/>
        <v>-63933.672480620153</v>
      </c>
    </row>
    <row r="17" spans="1:19" ht="15.75" customHeight="1">
      <c r="A17" s="51">
        <v>16</v>
      </c>
      <c r="B17" s="26"/>
      <c r="C17" s="26" t="s">
        <v>34</v>
      </c>
      <c r="D17" s="54" t="s">
        <v>42</v>
      </c>
      <c r="E17" s="6">
        <v>2000</v>
      </c>
      <c r="F17" s="53">
        <f t="shared" si="13"/>
        <v>180000</v>
      </c>
      <c r="G17" s="14">
        <v>52843</v>
      </c>
      <c r="H17" s="14">
        <f t="shared" si="14"/>
        <v>9172.9534883720935</v>
      </c>
      <c r="I17" s="14">
        <f t="shared" si="15"/>
        <v>52823</v>
      </c>
      <c r="J17" s="14">
        <f t="shared" si="16"/>
        <v>37168.416666666664</v>
      </c>
      <c r="K17" s="14">
        <f t="shared" si="17"/>
        <v>11357.069767441861</v>
      </c>
      <c r="L17" s="53">
        <f t="shared" si="18"/>
        <v>14229.953488372093</v>
      </c>
      <c r="M17" s="53">
        <f t="shared" si="19"/>
        <v>3431.4651162790697</v>
      </c>
      <c r="N17" s="53">
        <f t="shared" si="20"/>
        <v>26530.837209302324</v>
      </c>
      <c r="O17" s="53">
        <f t="shared" si="21"/>
        <v>17164.488372093023</v>
      </c>
      <c r="P17" s="14">
        <f t="shared" si="22"/>
        <v>3348.6511627906975</v>
      </c>
      <c r="Q17" s="14">
        <f t="shared" si="23"/>
        <v>1428.6511627906978</v>
      </c>
      <c r="R17" s="53">
        <f t="shared" si="24"/>
        <v>478.18604651162792</v>
      </c>
      <c r="S17" s="53">
        <f t="shared" si="25"/>
        <v>-49976.672480620153</v>
      </c>
    </row>
    <row r="18" spans="1:19" ht="15.75" customHeight="1">
      <c r="A18" s="51">
        <v>17</v>
      </c>
      <c r="B18" s="26"/>
      <c r="C18" s="26" t="s">
        <v>34</v>
      </c>
      <c r="D18" s="54" t="s">
        <v>43</v>
      </c>
      <c r="E18" s="6">
        <v>2000</v>
      </c>
      <c r="F18" s="53">
        <f t="shared" si="13"/>
        <v>180000</v>
      </c>
      <c r="G18" s="14">
        <v>44521</v>
      </c>
      <c r="H18" s="14">
        <f t="shared" si="14"/>
        <v>9172.9534883720935</v>
      </c>
      <c r="I18" s="14">
        <f t="shared" si="15"/>
        <v>52823</v>
      </c>
      <c r="J18" s="14">
        <f t="shared" si="16"/>
        <v>37168.416666666664</v>
      </c>
      <c r="K18" s="14">
        <f t="shared" si="17"/>
        <v>11357.069767441861</v>
      </c>
      <c r="L18" s="53">
        <f t="shared" si="18"/>
        <v>14229.953488372093</v>
      </c>
      <c r="M18" s="53">
        <f t="shared" si="19"/>
        <v>3431.4651162790697</v>
      </c>
      <c r="N18" s="53">
        <f t="shared" si="20"/>
        <v>26530.837209302324</v>
      </c>
      <c r="O18" s="53">
        <f t="shared" si="21"/>
        <v>17164.488372093023</v>
      </c>
      <c r="P18" s="14">
        <f t="shared" si="22"/>
        <v>3348.6511627906975</v>
      </c>
      <c r="Q18" s="14">
        <f t="shared" si="23"/>
        <v>1428.6511627906978</v>
      </c>
      <c r="R18" s="53">
        <f t="shared" si="24"/>
        <v>478.18604651162792</v>
      </c>
      <c r="S18" s="53">
        <f t="shared" si="25"/>
        <v>-41654.672480620153</v>
      </c>
    </row>
    <row r="19" spans="1:19" ht="15.75" customHeight="1">
      <c r="A19" s="51">
        <v>18</v>
      </c>
      <c r="B19" s="26"/>
      <c r="C19" s="26" t="s">
        <v>50</v>
      </c>
      <c r="D19" s="26" t="s">
        <v>52</v>
      </c>
      <c r="E19" s="6">
        <v>2250</v>
      </c>
      <c r="F19" s="53">
        <f t="shared" si="13"/>
        <v>202500</v>
      </c>
      <c r="G19" s="14">
        <v>93920</v>
      </c>
      <c r="H19" s="14">
        <f t="shared" si="14"/>
        <v>9172.9534883720935</v>
      </c>
      <c r="I19" s="14">
        <f t="shared" si="15"/>
        <v>52823</v>
      </c>
      <c r="J19" s="14">
        <f t="shared" si="16"/>
        <v>37168.416666666664</v>
      </c>
      <c r="K19" s="14">
        <f t="shared" si="17"/>
        <v>11357.069767441861</v>
      </c>
      <c r="L19" s="53">
        <f t="shared" si="18"/>
        <v>14229.953488372093</v>
      </c>
      <c r="M19" s="53">
        <f t="shared" si="19"/>
        <v>3431.4651162790697</v>
      </c>
      <c r="N19" s="53">
        <f t="shared" si="20"/>
        <v>26530.837209302324</v>
      </c>
      <c r="O19" s="53">
        <f t="shared" si="21"/>
        <v>17164.488372093023</v>
      </c>
      <c r="P19" s="14">
        <f t="shared" si="22"/>
        <v>3348.6511627906975</v>
      </c>
      <c r="Q19" s="14">
        <f t="shared" si="23"/>
        <v>1428.6511627906978</v>
      </c>
      <c r="R19" s="53">
        <f t="shared" si="24"/>
        <v>478.18604651162792</v>
      </c>
      <c r="S19" s="53">
        <f t="shared" si="25"/>
        <v>-68553.672480620211</v>
      </c>
    </row>
    <row r="20" spans="1:19" ht="15.75" customHeight="1">
      <c r="A20" s="51">
        <v>19</v>
      </c>
      <c r="B20" s="26"/>
      <c r="C20" s="26" t="s">
        <v>50</v>
      </c>
      <c r="D20" s="26" t="s">
        <v>51</v>
      </c>
      <c r="E20" s="6">
        <v>2000</v>
      </c>
      <c r="F20" s="53">
        <f t="shared" si="13"/>
        <v>180000</v>
      </c>
      <c r="G20" s="14">
        <v>81068</v>
      </c>
      <c r="H20" s="14">
        <f t="shared" si="14"/>
        <v>9172.9534883720935</v>
      </c>
      <c r="I20" s="14">
        <f t="shared" si="15"/>
        <v>52823</v>
      </c>
      <c r="J20" s="14">
        <f t="shared" si="16"/>
        <v>37168.416666666664</v>
      </c>
      <c r="K20" s="14">
        <f t="shared" si="17"/>
        <v>11357.069767441861</v>
      </c>
      <c r="L20" s="53">
        <f t="shared" si="18"/>
        <v>14229.953488372093</v>
      </c>
      <c r="M20" s="53">
        <f t="shared" si="19"/>
        <v>3431.4651162790697</v>
      </c>
      <c r="N20" s="53">
        <f t="shared" si="20"/>
        <v>26530.837209302324</v>
      </c>
      <c r="O20" s="53">
        <f t="shared" si="21"/>
        <v>17164.488372093023</v>
      </c>
      <c r="P20" s="14">
        <f t="shared" si="22"/>
        <v>3348.6511627906975</v>
      </c>
      <c r="Q20" s="14">
        <f t="shared" si="23"/>
        <v>1428.6511627906978</v>
      </c>
      <c r="R20" s="53">
        <f t="shared" si="24"/>
        <v>478.18604651162792</v>
      </c>
      <c r="S20" s="53">
        <f t="shared" si="25"/>
        <v>-78201.672480620153</v>
      </c>
    </row>
    <row r="21" spans="1:19" ht="15.75" customHeight="1">
      <c r="A21" s="51">
        <v>20</v>
      </c>
      <c r="B21" s="26"/>
      <c r="C21" s="26" t="s">
        <v>59</v>
      </c>
      <c r="D21" s="26" t="s">
        <v>60</v>
      </c>
      <c r="E21" s="6">
        <v>1800</v>
      </c>
      <c r="F21" s="53">
        <f t="shared" si="13"/>
        <v>162000</v>
      </c>
      <c r="G21" s="14">
        <v>71000</v>
      </c>
      <c r="H21" s="14">
        <f t="shared" si="14"/>
        <v>9172.9534883720935</v>
      </c>
      <c r="I21" s="14">
        <f t="shared" si="15"/>
        <v>52823</v>
      </c>
      <c r="J21" s="14">
        <f t="shared" si="16"/>
        <v>37168.416666666664</v>
      </c>
      <c r="K21" s="14">
        <f t="shared" si="17"/>
        <v>11357.069767441861</v>
      </c>
      <c r="L21" s="53">
        <f t="shared" si="18"/>
        <v>14229.953488372093</v>
      </c>
      <c r="M21" s="53">
        <f t="shared" si="19"/>
        <v>3431.4651162790697</v>
      </c>
      <c r="N21" s="53">
        <f t="shared" si="20"/>
        <v>26530.837209302324</v>
      </c>
      <c r="O21" s="53">
        <f t="shared" si="21"/>
        <v>17164.488372093023</v>
      </c>
      <c r="P21" s="14">
        <f t="shared" si="22"/>
        <v>3348.6511627906975</v>
      </c>
      <c r="Q21" s="14">
        <f t="shared" si="23"/>
        <v>1428.6511627906978</v>
      </c>
      <c r="R21" s="53">
        <f t="shared" si="24"/>
        <v>478.18604651162792</v>
      </c>
      <c r="S21" s="53">
        <f t="shared" si="25"/>
        <v>-86133.672480620153</v>
      </c>
    </row>
    <row r="22" spans="1:19" ht="15.75" customHeight="1">
      <c r="A22" s="51">
        <v>21</v>
      </c>
      <c r="B22" s="26"/>
      <c r="C22" s="26" t="s">
        <v>61</v>
      </c>
      <c r="D22" s="55" t="s">
        <v>63</v>
      </c>
      <c r="E22" s="6">
        <v>2000</v>
      </c>
      <c r="F22" s="53">
        <f t="shared" si="13"/>
        <v>180000</v>
      </c>
      <c r="G22" s="14">
        <v>51000</v>
      </c>
      <c r="H22" s="14">
        <f t="shared" si="14"/>
        <v>9172.9534883720935</v>
      </c>
      <c r="I22" s="14">
        <f t="shared" si="15"/>
        <v>52823</v>
      </c>
      <c r="J22" s="14">
        <f t="shared" si="16"/>
        <v>37168.416666666664</v>
      </c>
      <c r="K22" s="14">
        <f t="shared" si="17"/>
        <v>11357.069767441861</v>
      </c>
      <c r="L22" s="53">
        <f t="shared" si="18"/>
        <v>14229.953488372093</v>
      </c>
      <c r="M22" s="53">
        <f t="shared" si="19"/>
        <v>3431.4651162790697</v>
      </c>
      <c r="N22" s="53">
        <f t="shared" si="20"/>
        <v>26530.837209302324</v>
      </c>
      <c r="O22" s="53">
        <f t="shared" si="21"/>
        <v>17164.488372093023</v>
      </c>
      <c r="P22" s="14">
        <f t="shared" si="22"/>
        <v>3348.6511627906975</v>
      </c>
      <c r="Q22" s="14">
        <f t="shared" si="23"/>
        <v>1428.6511627906978</v>
      </c>
      <c r="R22" s="53">
        <f t="shared" si="24"/>
        <v>478.18604651162792</v>
      </c>
      <c r="S22" s="53">
        <f t="shared" si="25"/>
        <v>-48133.672480620153</v>
      </c>
    </row>
    <row r="23" spans="1:19" ht="15.75" customHeight="1">
      <c r="A23" s="51">
        <v>22</v>
      </c>
      <c r="B23" s="26"/>
      <c r="C23" s="26" t="s">
        <v>61</v>
      </c>
      <c r="D23" s="54" t="s">
        <v>145</v>
      </c>
      <c r="E23" s="6">
        <v>2100</v>
      </c>
      <c r="F23" s="53">
        <f t="shared" si="13"/>
        <v>189000</v>
      </c>
      <c r="G23" s="14">
        <v>93357</v>
      </c>
      <c r="H23" s="14">
        <f t="shared" si="14"/>
        <v>9172.9534883720935</v>
      </c>
      <c r="I23" s="14">
        <f t="shared" si="15"/>
        <v>52823</v>
      </c>
      <c r="J23" s="14">
        <f t="shared" si="16"/>
        <v>37168.416666666664</v>
      </c>
      <c r="K23" s="14">
        <f t="shared" si="17"/>
        <v>11357.069767441861</v>
      </c>
      <c r="L23" s="53">
        <f t="shared" si="18"/>
        <v>14229.953488372093</v>
      </c>
      <c r="M23" s="53">
        <f t="shared" si="19"/>
        <v>3431.4651162790697</v>
      </c>
      <c r="N23" s="53">
        <f t="shared" si="20"/>
        <v>26530.837209302324</v>
      </c>
      <c r="O23" s="53">
        <f t="shared" si="21"/>
        <v>17164.488372093023</v>
      </c>
      <c r="P23" s="14">
        <f t="shared" si="22"/>
        <v>3348.6511627906975</v>
      </c>
      <c r="Q23" s="14">
        <f t="shared" si="23"/>
        <v>1428.6511627906978</v>
      </c>
      <c r="R23" s="53">
        <f t="shared" si="24"/>
        <v>478.18604651162792</v>
      </c>
      <c r="S23" s="53">
        <f t="shared" si="25"/>
        <v>-81490.672480620211</v>
      </c>
    </row>
    <row r="24" spans="1:19" ht="15.75" customHeight="1">
      <c r="A24" s="51">
        <v>23</v>
      </c>
      <c r="B24" s="26"/>
      <c r="C24" s="26" t="s">
        <v>61</v>
      </c>
      <c r="D24" s="55" t="s">
        <v>67</v>
      </c>
      <c r="E24" s="6">
        <v>2100</v>
      </c>
      <c r="F24" s="53">
        <f t="shared" si="13"/>
        <v>189000</v>
      </c>
      <c r="G24" s="14">
        <v>59400</v>
      </c>
      <c r="H24" s="14">
        <f t="shared" si="14"/>
        <v>9172.9534883720935</v>
      </c>
      <c r="I24" s="14">
        <f t="shared" si="15"/>
        <v>52823</v>
      </c>
      <c r="J24" s="14">
        <f t="shared" si="16"/>
        <v>37168.416666666664</v>
      </c>
      <c r="K24" s="14">
        <f t="shared" si="17"/>
        <v>11357.069767441861</v>
      </c>
      <c r="L24" s="53">
        <f t="shared" si="18"/>
        <v>14229.953488372093</v>
      </c>
      <c r="M24" s="53">
        <f t="shared" si="19"/>
        <v>3431.4651162790697</v>
      </c>
      <c r="N24" s="53">
        <f t="shared" si="20"/>
        <v>26530.837209302324</v>
      </c>
      <c r="O24" s="53">
        <f t="shared" si="21"/>
        <v>17164.488372093023</v>
      </c>
      <c r="P24" s="14">
        <f t="shared" si="22"/>
        <v>3348.6511627906975</v>
      </c>
      <c r="Q24" s="14">
        <f t="shared" si="23"/>
        <v>1428.6511627906978</v>
      </c>
      <c r="R24" s="53">
        <f t="shared" si="24"/>
        <v>478.18604651162792</v>
      </c>
      <c r="S24" s="53">
        <f t="shared" si="25"/>
        <v>-47533.672480620153</v>
      </c>
    </row>
    <row r="25" spans="1:19" ht="15.75" customHeight="1">
      <c r="A25" s="51">
        <v>24</v>
      </c>
      <c r="B25" s="26"/>
      <c r="C25" s="26" t="s">
        <v>61</v>
      </c>
      <c r="D25" s="55" t="s">
        <v>68</v>
      </c>
      <c r="E25" s="6">
        <v>2100</v>
      </c>
      <c r="F25" s="53">
        <f t="shared" si="13"/>
        <v>189000</v>
      </c>
      <c r="G25" s="14">
        <v>64692</v>
      </c>
      <c r="H25" s="14">
        <f t="shared" si="14"/>
        <v>9172.9534883720935</v>
      </c>
      <c r="I25" s="14">
        <f t="shared" si="15"/>
        <v>52823</v>
      </c>
      <c r="J25" s="14">
        <f t="shared" si="16"/>
        <v>37168.416666666664</v>
      </c>
      <c r="K25" s="14">
        <f t="shared" si="17"/>
        <v>11357.069767441861</v>
      </c>
      <c r="L25" s="53">
        <f t="shared" si="18"/>
        <v>14229.953488372093</v>
      </c>
      <c r="M25" s="53">
        <f t="shared" si="19"/>
        <v>3431.4651162790697</v>
      </c>
      <c r="N25" s="53">
        <f t="shared" si="20"/>
        <v>26530.837209302324</v>
      </c>
      <c r="O25" s="53">
        <f t="shared" si="21"/>
        <v>17164.488372093023</v>
      </c>
      <c r="P25" s="14">
        <f t="shared" si="22"/>
        <v>3348.6511627906975</v>
      </c>
      <c r="Q25" s="14">
        <f t="shared" si="23"/>
        <v>1428.6511627906978</v>
      </c>
      <c r="R25" s="53">
        <f t="shared" si="24"/>
        <v>478.18604651162792</v>
      </c>
      <c r="S25" s="53">
        <f t="shared" si="25"/>
        <v>-52825.672480620153</v>
      </c>
    </row>
    <row r="26" spans="1:19" ht="15.75" customHeight="1">
      <c r="A26" s="51">
        <v>25</v>
      </c>
      <c r="B26" s="26"/>
      <c r="C26" s="26" t="s">
        <v>61</v>
      </c>
      <c r="D26" s="55" t="s">
        <v>69</v>
      </c>
      <c r="E26" s="6">
        <v>2000</v>
      </c>
      <c r="F26" s="53">
        <f t="shared" si="13"/>
        <v>180000</v>
      </c>
      <c r="G26" s="14">
        <v>48449</v>
      </c>
      <c r="H26" s="14">
        <f t="shared" si="14"/>
        <v>9172.9534883720935</v>
      </c>
      <c r="I26" s="14">
        <f t="shared" si="15"/>
        <v>52823</v>
      </c>
      <c r="J26" s="14">
        <f t="shared" si="16"/>
        <v>37168.416666666664</v>
      </c>
      <c r="K26" s="14">
        <f t="shared" si="17"/>
        <v>11357.069767441861</v>
      </c>
      <c r="L26" s="53">
        <f t="shared" si="18"/>
        <v>14229.953488372093</v>
      </c>
      <c r="M26" s="53">
        <f t="shared" si="19"/>
        <v>3431.4651162790697</v>
      </c>
      <c r="N26" s="53">
        <f t="shared" si="20"/>
        <v>26530.837209302324</v>
      </c>
      <c r="O26" s="53">
        <f t="shared" si="21"/>
        <v>17164.488372093023</v>
      </c>
      <c r="P26" s="14">
        <f t="shared" si="22"/>
        <v>3348.6511627906975</v>
      </c>
      <c r="Q26" s="14">
        <f t="shared" si="23"/>
        <v>1428.6511627906978</v>
      </c>
      <c r="R26" s="53">
        <f t="shared" si="24"/>
        <v>478.18604651162792</v>
      </c>
      <c r="S26" s="53">
        <f t="shared" si="25"/>
        <v>-45582.672480620153</v>
      </c>
    </row>
    <row r="27" spans="1:19" ht="15.75" customHeight="1">
      <c r="A27" s="51">
        <v>26</v>
      </c>
      <c r="B27" s="26"/>
      <c r="C27" s="26" t="s">
        <v>61</v>
      </c>
      <c r="D27" s="55" t="s">
        <v>146</v>
      </c>
      <c r="E27" s="6">
        <v>2000</v>
      </c>
      <c r="F27" s="53">
        <f t="shared" si="13"/>
        <v>180000</v>
      </c>
      <c r="G27" s="14">
        <v>34800</v>
      </c>
      <c r="H27" s="14">
        <f t="shared" si="14"/>
        <v>9172.9534883720935</v>
      </c>
      <c r="I27" s="14">
        <f t="shared" si="15"/>
        <v>52823</v>
      </c>
      <c r="J27" s="14">
        <f t="shared" si="16"/>
        <v>37168.416666666664</v>
      </c>
      <c r="K27" s="14">
        <f t="shared" si="17"/>
        <v>11357.069767441861</v>
      </c>
      <c r="L27" s="53">
        <f t="shared" si="18"/>
        <v>14229.953488372093</v>
      </c>
      <c r="M27" s="53">
        <f t="shared" si="19"/>
        <v>3431.4651162790697</v>
      </c>
      <c r="N27" s="53">
        <f t="shared" si="20"/>
        <v>26530.837209302324</v>
      </c>
      <c r="O27" s="53">
        <f t="shared" si="21"/>
        <v>17164.488372093023</v>
      </c>
      <c r="P27" s="14">
        <f t="shared" si="22"/>
        <v>3348.6511627906975</v>
      </c>
      <c r="Q27" s="14">
        <f t="shared" si="23"/>
        <v>1428.6511627906978</v>
      </c>
      <c r="R27" s="53">
        <f t="shared" si="24"/>
        <v>478.18604651162792</v>
      </c>
      <c r="S27" s="53">
        <f t="shared" si="25"/>
        <v>-31933.672480620153</v>
      </c>
    </row>
    <row r="28" spans="1:19" ht="15.75" customHeight="1">
      <c r="A28" s="51">
        <v>27</v>
      </c>
      <c r="B28" s="26"/>
      <c r="C28" s="26" t="s">
        <v>61</v>
      </c>
      <c r="D28" s="55" t="s">
        <v>147</v>
      </c>
      <c r="E28" s="6">
        <v>2000</v>
      </c>
      <c r="F28" s="53">
        <f t="shared" si="13"/>
        <v>180000</v>
      </c>
      <c r="G28" s="14">
        <v>65558</v>
      </c>
      <c r="H28" s="14">
        <f t="shared" si="14"/>
        <v>9172.9534883720935</v>
      </c>
      <c r="I28" s="14">
        <f t="shared" si="15"/>
        <v>52823</v>
      </c>
      <c r="J28" s="14">
        <f t="shared" si="16"/>
        <v>37168.416666666664</v>
      </c>
      <c r="K28" s="14">
        <f t="shared" si="17"/>
        <v>11357.069767441861</v>
      </c>
      <c r="L28" s="53">
        <f t="shared" si="18"/>
        <v>14229.953488372093</v>
      </c>
      <c r="M28" s="53">
        <f t="shared" si="19"/>
        <v>3431.4651162790697</v>
      </c>
      <c r="N28" s="53">
        <f t="shared" si="20"/>
        <v>26530.837209302324</v>
      </c>
      <c r="O28" s="53">
        <f t="shared" si="21"/>
        <v>17164.488372093023</v>
      </c>
      <c r="P28" s="14">
        <f t="shared" si="22"/>
        <v>3348.6511627906975</v>
      </c>
      <c r="Q28" s="14">
        <f t="shared" si="23"/>
        <v>1428.6511627906978</v>
      </c>
      <c r="R28" s="53">
        <f t="shared" si="24"/>
        <v>478.18604651162792</v>
      </c>
      <c r="S28" s="53">
        <f t="shared" si="25"/>
        <v>-62691.672480620153</v>
      </c>
    </row>
    <row r="29" spans="1:19" ht="15.75" customHeight="1">
      <c r="A29" s="51">
        <v>28</v>
      </c>
      <c r="B29" s="26"/>
      <c r="C29" s="26" t="s">
        <v>76</v>
      </c>
      <c r="D29" s="55" t="s">
        <v>77</v>
      </c>
      <c r="E29" s="56">
        <v>1800</v>
      </c>
      <c r="F29" s="53">
        <f t="shared" si="13"/>
        <v>162000</v>
      </c>
      <c r="G29" s="14">
        <v>63600</v>
      </c>
      <c r="H29" s="14">
        <f t="shared" si="14"/>
        <v>9172.9534883720935</v>
      </c>
      <c r="I29" s="14">
        <f t="shared" si="15"/>
        <v>52823</v>
      </c>
      <c r="J29" s="14">
        <f t="shared" si="16"/>
        <v>37168.416666666664</v>
      </c>
      <c r="K29" s="14">
        <f t="shared" si="17"/>
        <v>11357.069767441861</v>
      </c>
      <c r="L29" s="53">
        <f t="shared" si="18"/>
        <v>14229.953488372093</v>
      </c>
      <c r="M29" s="53">
        <f t="shared" si="19"/>
        <v>3431.4651162790697</v>
      </c>
      <c r="N29" s="53">
        <f t="shared" si="20"/>
        <v>26530.837209302324</v>
      </c>
      <c r="O29" s="53">
        <f t="shared" si="21"/>
        <v>17164.488372093023</v>
      </c>
      <c r="P29" s="14">
        <f t="shared" si="22"/>
        <v>3348.6511627906975</v>
      </c>
      <c r="Q29" s="14">
        <f t="shared" si="23"/>
        <v>1428.6511627906978</v>
      </c>
      <c r="R29" s="53">
        <f t="shared" si="24"/>
        <v>478.18604651162792</v>
      </c>
      <c r="S29" s="53">
        <f t="shared" si="25"/>
        <v>-78733.672480620153</v>
      </c>
    </row>
    <row r="30" spans="1:19" ht="15.75" customHeight="1">
      <c r="A30" s="51">
        <v>29</v>
      </c>
      <c r="B30" s="26"/>
      <c r="C30" s="26" t="s">
        <v>148</v>
      </c>
      <c r="D30" s="55" t="s">
        <v>89</v>
      </c>
      <c r="E30" s="56">
        <v>1800</v>
      </c>
      <c r="F30" s="53">
        <f t="shared" si="13"/>
        <v>162000</v>
      </c>
      <c r="G30" s="14">
        <v>57327</v>
      </c>
      <c r="H30" s="14">
        <f t="shared" si="14"/>
        <v>9172.9534883720935</v>
      </c>
      <c r="I30" s="14">
        <f t="shared" si="15"/>
        <v>52823</v>
      </c>
      <c r="J30" s="14">
        <f t="shared" si="16"/>
        <v>37168.416666666664</v>
      </c>
      <c r="K30" s="14">
        <f t="shared" si="17"/>
        <v>11357.069767441861</v>
      </c>
      <c r="L30" s="53">
        <f t="shared" si="18"/>
        <v>14229.953488372093</v>
      </c>
      <c r="M30" s="53">
        <f t="shared" si="19"/>
        <v>3431.4651162790697</v>
      </c>
      <c r="N30" s="53">
        <f t="shared" si="20"/>
        <v>26530.837209302324</v>
      </c>
      <c r="O30" s="53">
        <f t="shared" si="21"/>
        <v>17164.488372093023</v>
      </c>
      <c r="P30" s="14">
        <f t="shared" si="22"/>
        <v>3348.6511627906975</v>
      </c>
      <c r="Q30" s="14">
        <f t="shared" si="23"/>
        <v>1428.6511627906978</v>
      </c>
      <c r="R30" s="53">
        <f t="shared" si="24"/>
        <v>478.18604651162792</v>
      </c>
      <c r="S30" s="53">
        <f t="shared" si="25"/>
        <v>-72460.672480620153</v>
      </c>
    </row>
    <row r="31" spans="1:19" ht="15.75" customHeight="1">
      <c r="A31" s="51">
        <v>30</v>
      </c>
      <c r="B31" s="26"/>
      <c r="C31" s="26"/>
      <c r="D31" s="55" t="s">
        <v>149</v>
      </c>
      <c r="E31" s="56">
        <v>1800</v>
      </c>
      <c r="F31" s="53">
        <f t="shared" si="13"/>
        <v>162000</v>
      </c>
      <c r="G31" s="14">
        <v>70000</v>
      </c>
      <c r="H31" s="14">
        <f t="shared" si="14"/>
        <v>9172.9534883720935</v>
      </c>
      <c r="I31" s="14">
        <f t="shared" si="15"/>
        <v>52823</v>
      </c>
      <c r="J31" s="14">
        <f t="shared" si="16"/>
        <v>37168.416666666664</v>
      </c>
      <c r="K31" s="14">
        <f t="shared" si="17"/>
        <v>11357.069767441861</v>
      </c>
      <c r="L31" s="53">
        <f t="shared" si="18"/>
        <v>14229.953488372093</v>
      </c>
      <c r="M31" s="53">
        <f t="shared" si="19"/>
        <v>3431.4651162790697</v>
      </c>
      <c r="N31" s="53">
        <f t="shared" si="20"/>
        <v>26530.837209302324</v>
      </c>
      <c r="O31" s="53">
        <f t="shared" si="21"/>
        <v>17164.488372093023</v>
      </c>
      <c r="P31" s="14">
        <f t="shared" si="22"/>
        <v>3348.6511627906975</v>
      </c>
      <c r="Q31" s="14">
        <f t="shared" si="23"/>
        <v>1428.6511627906978</v>
      </c>
      <c r="R31" s="53">
        <f t="shared" si="24"/>
        <v>478.18604651162792</v>
      </c>
      <c r="S31" s="53">
        <f t="shared" si="25"/>
        <v>-85133.672480620153</v>
      </c>
    </row>
    <row r="32" spans="1:19" ht="15.75" customHeight="1">
      <c r="A32" s="51">
        <v>31</v>
      </c>
      <c r="B32" s="26"/>
      <c r="C32" s="26"/>
      <c r="D32" s="55" t="s">
        <v>150</v>
      </c>
      <c r="E32" s="56">
        <v>1800</v>
      </c>
      <c r="F32" s="53">
        <f t="shared" si="13"/>
        <v>162000</v>
      </c>
      <c r="G32" s="14">
        <v>61400</v>
      </c>
      <c r="H32" s="14">
        <f t="shared" si="14"/>
        <v>9172.9534883720935</v>
      </c>
      <c r="I32" s="14">
        <f t="shared" si="15"/>
        <v>52823</v>
      </c>
      <c r="J32" s="14">
        <f t="shared" si="16"/>
        <v>37168.416666666664</v>
      </c>
      <c r="K32" s="14">
        <f t="shared" si="17"/>
        <v>11357.069767441861</v>
      </c>
      <c r="L32" s="53">
        <f t="shared" si="18"/>
        <v>14229.953488372093</v>
      </c>
      <c r="M32" s="53">
        <f t="shared" si="19"/>
        <v>3431.4651162790697</v>
      </c>
      <c r="N32" s="53">
        <f t="shared" si="20"/>
        <v>26530.837209302324</v>
      </c>
      <c r="O32" s="53">
        <f t="shared" si="21"/>
        <v>17164.488372093023</v>
      </c>
      <c r="P32" s="14">
        <f t="shared" si="22"/>
        <v>3348.6511627906975</v>
      </c>
      <c r="Q32" s="14">
        <f t="shared" si="23"/>
        <v>1428.6511627906978</v>
      </c>
      <c r="R32" s="53">
        <f t="shared" si="24"/>
        <v>478.18604651162792</v>
      </c>
      <c r="S32" s="53">
        <f t="shared" si="25"/>
        <v>-76533.672480620153</v>
      </c>
    </row>
    <row r="33" spans="1:21" ht="15.75" customHeight="1">
      <c r="A33" s="51">
        <v>32</v>
      </c>
      <c r="B33" s="26"/>
      <c r="C33" s="26" t="s">
        <v>151</v>
      </c>
      <c r="D33" s="57" t="s">
        <v>66</v>
      </c>
      <c r="E33" s="6">
        <v>1800</v>
      </c>
      <c r="F33" s="53">
        <f t="shared" si="13"/>
        <v>162000</v>
      </c>
      <c r="G33" s="14">
        <v>50713</v>
      </c>
      <c r="H33" s="14">
        <f t="shared" si="14"/>
        <v>9172.9534883720935</v>
      </c>
      <c r="I33" s="14">
        <f t="shared" si="15"/>
        <v>52823</v>
      </c>
      <c r="J33" s="14">
        <f t="shared" si="16"/>
        <v>37168.416666666664</v>
      </c>
      <c r="K33" s="14">
        <f t="shared" si="17"/>
        <v>11357.069767441861</v>
      </c>
      <c r="L33" s="53">
        <f t="shared" si="18"/>
        <v>14229.953488372093</v>
      </c>
      <c r="M33" s="53">
        <f t="shared" si="19"/>
        <v>3431.4651162790697</v>
      </c>
      <c r="N33" s="53">
        <f t="shared" si="20"/>
        <v>26530.837209302324</v>
      </c>
      <c r="O33" s="53">
        <f t="shared" si="21"/>
        <v>17164.488372093023</v>
      </c>
      <c r="P33" s="14">
        <f t="shared" si="22"/>
        <v>3348.6511627906975</v>
      </c>
      <c r="Q33" s="14">
        <f t="shared" si="23"/>
        <v>1428.6511627906978</v>
      </c>
      <c r="R33" s="53">
        <f t="shared" si="24"/>
        <v>478.18604651162792</v>
      </c>
      <c r="S33" s="53">
        <f t="shared" si="25"/>
        <v>-65846.672480620153</v>
      </c>
    </row>
    <row r="34" spans="1:21" ht="15.75" customHeight="1">
      <c r="A34" s="51">
        <v>33</v>
      </c>
      <c r="B34" s="26"/>
      <c r="C34" s="26" t="s">
        <v>152</v>
      </c>
      <c r="D34" s="55" t="s">
        <v>153</v>
      </c>
      <c r="E34" s="6">
        <v>1650</v>
      </c>
      <c r="F34" s="53">
        <f t="shared" si="13"/>
        <v>148500</v>
      </c>
      <c r="G34" s="14">
        <v>121000</v>
      </c>
      <c r="H34" s="14">
        <f t="shared" si="14"/>
        <v>9172.9534883720935</v>
      </c>
      <c r="I34" s="14">
        <f t="shared" si="15"/>
        <v>52823</v>
      </c>
      <c r="J34" s="14">
        <f t="shared" si="16"/>
        <v>37168.416666666664</v>
      </c>
      <c r="K34" s="14">
        <f t="shared" si="17"/>
        <v>11357.069767441861</v>
      </c>
      <c r="L34" s="53">
        <f t="shared" si="18"/>
        <v>14229.953488372093</v>
      </c>
      <c r="M34" s="53">
        <f t="shared" si="19"/>
        <v>3431.4651162790697</v>
      </c>
      <c r="N34" s="53">
        <f t="shared" si="20"/>
        <v>26530.837209302324</v>
      </c>
      <c r="O34" s="53">
        <f t="shared" si="21"/>
        <v>17164.488372093023</v>
      </c>
      <c r="P34" s="14">
        <f t="shared" si="22"/>
        <v>3348.6511627906975</v>
      </c>
      <c r="Q34" s="14">
        <f t="shared" si="23"/>
        <v>1428.6511627906978</v>
      </c>
      <c r="R34" s="53">
        <f t="shared" si="24"/>
        <v>478.18604651162792</v>
      </c>
      <c r="S34" s="53">
        <f t="shared" si="25"/>
        <v>-149633.67248062021</v>
      </c>
    </row>
    <row r="35" spans="1:21" ht="15.75" customHeight="1">
      <c r="A35" s="51">
        <v>34</v>
      </c>
      <c r="B35" s="26"/>
      <c r="C35" s="26"/>
      <c r="D35" s="55" t="s">
        <v>154</v>
      </c>
      <c r="E35" s="6">
        <v>1650</v>
      </c>
      <c r="F35" s="53">
        <f t="shared" si="13"/>
        <v>148500</v>
      </c>
      <c r="G35" s="14">
        <v>47000</v>
      </c>
      <c r="H35" s="14">
        <f t="shared" si="14"/>
        <v>9172.9534883720935</v>
      </c>
      <c r="I35" s="14">
        <f t="shared" si="15"/>
        <v>52823</v>
      </c>
      <c r="J35" s="14">
        <f t="shared" si="16"/>
        <v>37168.416666666664</v>
      </c>
      <c r="K35" s="14">
        <f t="shared" si="17"/>
        <v>11357.069767441861</v>
      </c>
      <c r="L35" s="53">
        <f t="shared" si="18"/>
        <v>14229.953488372093</v>
      </c>
      <c r="M35" s="53">
        <f t="shared" si="19"/>
        <v>3431.4651162790697</v>
      </c>
      <c r="N35" s="53">
        <f t="shared" si="20"/>
        <v>26530.837209302324</v>
      </c>
      <c r="O35" s="53">
        <f t="shared" si="21"/>
        <v>17164.488372093023</v>
      </c>
      <c r="P35" s="14">
        <f t="shared" si="22"/>
        <v>3348.6511627906975</v>
      </c>
      <c r="Q35" s="14">
        <f t="shared" si="23"/>
        <v>1428.6511627906978</v>
      </c>
      <c r="R35" s="53">
        <f t="shared" si="24"/>
        <v>478.18604651162792</v>
      </c>
      <c r="S35" s="53">
        <f t="shared" si="25"/>
        <v>-75633.672480620153</v>
      </c>
    </row>
    <row r="36" spans="1:21" ht="15.75" customHeight="1">
      <c r="A36" s="51">
        <v>35</v>
      </c>
      <c r="B36" s="26"/>
      <c r="C36" s="26"/>
      <c r="D36" s="55" t="s">
        <v>155</v>
      </c>
      <c r="E36" s="6">
        <v>1650</v>
      </c>
      <c r="F36" s="53">
        <f t="shared" si="13"/>
        <v>148500</v>
      </c>
      <c r="G36" s="58">
        <v>56562</v>
      </c>
      <c r="H36" s="14">
        <f t="shared" si="14"/>
        <v>9172.9534883720935</v>
      </c>
      <c r="I36" s="14">
        <f t="shared" si="15"/>
        <v>52823</v>
      </c>
      <c r="J36" s="14">
        <f t="shared" si="16"/>
        <v>37168.416666666664</v>
      </c>
      <c r="K36" s="14">
        <f t="shared" si="17"/>
        <v>11357.069767441861</v>
      </c>
      <c r="L36" s="53">
        <f t="shared" si="18"/>
        <v>14229.953488372093</v>
      </c>
      <c r="M36" s="53">
        <f t="shared" si="19"/>
        <v>3431.4651162790697</v>
      </c>
      <c r="N36" s="53">
        <f t="shared" si="20"/>
        <v>26530.837209302324</v>
      </c>
      <c r="O36" s="53">
        <f t="shared" si="21"/>
        <v>17164.488372093023</v>
      </c>
      <c r="P36" s="14">
        <f t="shared" si="22"/>
        <v>3348.6511627906975</v>
      </c>
      <c r="Q36" s="14">
        <f t="shared" si="23"/>
        <v>1428.6511627906978</v>
      </c>
      <c r="R36" s="53">
        <f t="shared" si="24"/>
        <v>478.18604651162792</v>
      </c>
      <c r="S36" s="53">
        <f t="shared" si="25"/>
        <v>-85195.672480620153</v>
      </c>
    </row>
    <row r="37" spans="1:21" ht="15.75" customHeight="1">
      <c r="A37" s="51">
        <v>36</v>
      </c>
      <c r="B37" s="26"/>
      <c r="C37" s="26" t="s">
        <v>156</v>
      </c>
      <c r="D37" s="55" t="s">
        <v>157</v>
      </c>
      <c r="E37" s="6">
        <v>2650</v>
      </c>
      <c r="F37" s="53">
        <f t="shared" si="13"/>
        <v>238500</v>
      </c>
      <c r="G37" s="14">
        <v>60600</v>
      </c>
      <c r="H37" s="14">
        <f t="shared" si="14"/>
        <v>9172.9534883720935</v>
      </c>
      <c r="I37" s="14">
        <f t="shared" si="15"/>
        <v>52823</v>
      </c>
      <c r="J37" s="14">
        <f t="shared" si="16"/>
        <v>37168.416666666664</v>
      </c>
      <c r="K37" s="14">
        <f t="shared" si="17"/>
        <v>11357.069767441861</v>
      </c>
      <c r="L37" s="53">
        <f t="shared" si="18"/>
        <v>14229.953488372093</v>
      </c>
      <c r="M37" s="53">
        <f t="shared" si="19"/>
        <v>3431.4651162790697</v>
      </c>
      <c r="N37" s="53">
        <f t="shared" si="20"/>
        <v>26530.837209302324</v>
      </c>
      <c r="O37" s="53">
        <f t="shared" si="21"/>
        <v>17164.488372093023</v>
      </c>
      <c r="P37" s="14">
        <f t="shared" si="22"/>
        <v>3348.6511627906975</v>
      </c>
      <c r="Q37" s="14">
        <f t="shared" si="23"/>
        <v>1428.6511627906978</v>
      </c>
      <c r="R37" s="53">
        <f t="shared" si="24"/>
        <v>478.18604651162792</v>
      </c>
      <c r="S37" s="53">
        <f t="shared" si="25"/>
        <v>766.32751937984722</v>
      </c>
    </row>
    <row r="38" spans="1:21" ht="15.75" customHeight="1">
      <c r="A38" s="51">
        <v>37</v>
      </c>
      <c r="B38" s="26"/>
      <c r="C38" s="26"/>
      <c r="D38" s="55" t="s">
        <v>158</v>
      </c>
      <c r="E38" s="6">
        <v>2650</v>
      </c>
      <c r="F38" s="53">
        <f t="shared" si="13"/>
        <v>238500</v>
      </c>
      <c r="G38" s="14">
        <v>47175</v>
      </c>
      <c r="H38" s="14">
        <f t="shared" si="14"/>
        <v>9172.9534883720935</v>
      </c>
      <c r="I38" s="14">
        <f t="shared" si="15"/>
        <v>52823</v>
      </c>
      <c r="J38" s="14">
        <f t="shared" si="16"/>
        <v>37168.416666666664</v>
      </c>
      <c r="K38" s="14">
        <f t="shared" si="17"/>
        <v>11357.069767441861</v>
      </c>
      <c r="L38" s="53">
        <f t="shared" si="18"/>
        <v>14229.953488372093</v>
      </c>
      <c r="M38" s="53">
        <f t="shared" si="19"/>
        <v>3431.4651162790697</v>
      </c>
      <c r="N38" s="53">
        <f t="shared" si="20"/>
        <v>26530.837209302324</v>
      </c>
      <c r="O38" s="53">
        <f t="shared" si="21"/>
        <v>17164.488372093023</v>
      </c>
      <c r="P38" s="14">
        <f t="shared" si="22"/>
        <v>3348.6511627906975</v>
      </c>
      <c r="Q38" s="14">
        <f t="shared" si="23"/>
        <v>1428.6511627906978</v>
      </c>
      <c r="R38" s="53">
        <f t="shared" si="24"/>
        <v>478.18604651162792</v>
      </c>
      <c r="S38" s="53">
        <f t="shared" si="25"/>
        <v>14191.327519379847</v>
      </c>
    </row>
    <row r="39" spans="1:21" ht="15.75" customHeight="1">
      <c r="A39" s="51">
        <v>38</v>
      </c>
      <c r="B39" s="26"/>
      <c r="C39" s="26"/>
      <c r="D39" s="55" t="s">
        <v>81</v>
      </c>
      <c r="E39" s="6">
        <v>2650</v>
      </c>
      <c r="F39" s="53">
        <f t="shared" si="13"/>
        <v>238500</v>
      </c>
      <c r="G39" s="14">
        <v>88835</v>
      </c>
      <c r="H39" s="14">
        <f t="shared" si="14"/>
        <v>9172.9534883720935</v>
      </c>
      <c r="I39" s="14">
        <f t="shared" si="15"/>
        <v>52823</v>
      </c>
      <c r="J39" s="14">
        <f t="shared" si="16"/>
        <v>37168.416666666664</v>
      </c>
      <c r="K39" s="14">
        <f t="shared" si="17"/>
        <v>11357.069767441861</v>
      </c>
      <c r="L39" s="53">
        <f t="shared" si="18"/>
        <v>14229.953488372093</v>
      </c>
      <c r="M39" s="53">
        <f t="shared" si="19"/>
        <v>3431.4651162790697</v>
      </c>
      <c r="N39" s="53">
        <f t="shared" si="20"/>
        <v>26530.837209302324</v>
      </c>
      <c r="O39" s="53">
        <f t="shared" si="21"/>
        <v>17164.488372093023</v>
      </c>
      <c r="P39" s="14">
        <f t="shared" si="22"/>
        <v>3348.6511627906975</v>
      </c>
      <c r="Q39" s="14">
        <f t="shared" si="23"/>
        <v>1428.6511627906978</v>
      </c>
      <c r="R39" s="53">
        <f t="shared" si="24"/>
        <v>478.18604651162792</v>
      </c>
      <c r="S39" s="53">
        <f t="shared" si="25"/>
        <v>-27468.672480620211</v>
      </c>
    </row>
    <row r="40" spans="1:21" ht="15.75" customHeight="1">
      <c r="A40" s="51">
        <v>39</v>
      </c>
      <c r="B40" s="26"/>
      <c r="C40" s="26"/>
      <c r="D40" s="55" t="s">
        <v>159</v>
      </c>
      <c r="E40" s="6">
        <v>2650</v>
      </c>
      <c r="F40" s="53">
        <f t="shared" si="13"/>
        <v>238500</v>
      </c>
      <c r="G40" s="14">
        <v>57585</v>
      </c>
      <c r="H40" s="14">
        <f t="shared" si="14"/>
        <v>9172.9534883720935</v>
      </c>
      <c r="I40" s="14">
        <f t="shared" si="15"/>
        <v>52823</v>
      </c>
      <c r="J40" s="14">
        <f t="shared" si="16"/>
        <v>37168.416666666664</v>
      </c>
      <c r="K40" s="14">
        <f t="shared" si="17"/>
        <v>11357.069767441861</v>
      </c>
      <c r="L40" s="53">
        <f t="shared" si="18"/>
        <v>14229.953488372093</v>
      </c>
      <c r="M40" s="53">
        <f t="shared" si="19"/>
        <v>3431.4651162790697</v>
      </c>
      <c r="N40" s="53">
        <f t="shared" si="20"/>
        <v>26530.837209302324</v>
      </c>
      <c r="O40" s="53">
        <f t="shared" si="21"/>
        <v>17164.488372093023</v>
      </c>
      <c r="P40" s="14">
        <f t="shared" si="22"/>
        <v>3348.6511627906975</v>
      </c>
      <c r="Q40" s="14">
        <f t="shared" si="23"/>
        <v>1428.6511627906978</v>
      </c>
      <c r="R40" s="53">
        <f t="shared" si="24"/>
        <v>478.18604651162792</v>
      </c>
      <c r="S40" s="53">
        <f t="shared" si="25"/>
        <v>3781.3275193798472</v>
      </c>
      <c r="T40" s="13"/>
      <c r="U40" s="13"/>
    </row>
    <row r="41" spans="1:21" ht="15.75" customHeight="1">
      <c r="A41" s="51">
        <v>40</v>
      </c>
      <c r="B41" s="26"/>
      <c r="C41" s="26"/>
      <c r="D41" s="55" t="s">
        <v>160</v>
      </c>
      <c r="E41" s="6">
        <v>2650</v>
      </c>
      <c r="F41" s="53">
        <f t="shared" si="13"/>
        <v>238500</v>
      </c>
      <c r="G41" s="14">
        <v>50711</v>
      </c>
      <c r="H41" s="14">
        <f t="shared" si="14"/>
        <v>9172.9534883720935</v>
      </c>
      <c r="I41" s="14">
        <f t="shared" si="15"/>
        <v>52823</v>
      </c>
      <c r="J41" s="14">
        <f t="shared" si="16"/>
        <v>37168.416666666664</v>
      </c>
      <c r="K41" s="14">
        <f t="shared" si="17"/>
        <v>11357.069767441861</v>
      </c>
      <c r="L41" s="53">
        <f t="shared" si="18"/>
        <v>14229.953488372093</v>
      </c>
      <c r="M41" s="53">
        <f t="shared" si="19"/>
        <v>3431.4651162790697</v>
      </c>
      <c r="N41" s="53">
        <f t="shared" si="20"/>
        <v>26530.837209302324</v>
      </c>
      <c r="O41" s="53">
        <f t="shared" si="21"/>
        <v>17164.488372093023</v>
      </c>
      <c r="P41" s="14">
        <f t="shared" si="22"/>
        <v>3348.6511627906975</v>
      </c>
      <c r="Q41" s="14">
        <f t="shared" si="23"/>
        <v>1428.6511627906978</v>
      </c>
      <c r="R41" s="53">
        <f t="shared" si="24"/>
        <v>478.18604651162792</v>
      </c>
      <c r="S41" s="53">
        <f t="shared" si="25"/>
        <v>10655.327519379847</v>
      </c>
      <c r="T41" s="13"/>
      <c r="U41" s="13"/>
    </row>
    <row r="42" spans="1:21" ht="15.75" customHeight="1">
      <c r="A42" s="51">
        <v>41</v>
      </c>
      <c r="B42" s="26"/>
      <c r="C42" s="26" t="s">
        <v>161</v>
      </c>
      <c r="D42" s="55" t="s">
        <v>162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3"/>
      <c r="U42" s="13"/>
    </row>
    <row r="43" spans="1:21" ht="15.75" customHeight="1">
      <c r="C43" s="26"/>
      <c r="D43" s="32"/>
      <c r="I43" s="17"/>
      <c r="J43" s="14"/>
      <c r="M43" s="17"/>
      <c r="N43" s="13"/>
      <c r="O43" s="59"/>
      <c r="P43" s="13"/>
      <c r="S43" s="26"/>
    </row>
    <row r="44" spans="1:21" ht="15.75" customHeight="1">
      <c r="A44" s="60">
        <v>42</v>
      </c>
      <c r="B44" s="26"/>
      <c r="C44" s="26" t="s">
        <v>57</v>
      </c>
      <c r="D44" s="26" t="s">
        <v>58</v>
      </c>
      <c r="E44" s="6">
        <v>2628</v>
      </c>
      <c r="F44" s="53">
        <f t="shared" ref="F44:F47" si="26">E44*85</f>
        <v>223380</v>
      </c>
      <c r="G44" s="14">
        <v>107930</v>
      </c>
      <c r="H44" s="14" t="s">
        <v>163</v>
      </c>
      <c r="I44" s="14">
        <f t="shared" ref="I44:I48" si="27">2535504/48</f>
        <v>52823</v>
      </c>
      <c r="J44" s="14">
        <f t="shared" ref="J44:J48" si="28">1784084/48</f>
        <v>37168.416666666664</v>
      </c>
      <c r="K44" s="14" t="s">
        <v>163</v>
      </c>
      <c r="L44" s="53" t="s">
        <v>163</v>
      </c>
      <c r="M44" s="14"/>
      <c r="N44" s="53"/>
      <c r="O44" s="53"/>
      <c r="P44" s="61"/>
      <c r="Q44" s="14" t="s">
        <v>163</v>
      </c>
      <c r="R44" s="14" t="s">
        <v>163</v>
      </c>
      <c r="S44" s="53">
        <f t="shared" ref="S44:S48" si="29">F44-SUM(G44:R44)</f>
        <v>25458.583333333343</v>
      </c>
    </row>
    <row r="45" spans="1:21" ht="15.75" customHeight="1">
      <c r="A45" s="60">
        <v>43</v>
      </c>
      <c r="B45" s="26"/>
      <c r="C45" s="26" t="s">
        <v>53</v>
      </c>
      <c r="D45" s="62" t="s">
        <v>54</v>
      </c>
      <c r="E45" s="6">
        <v>4900</v>
      </c>
      <c r="F45" s="53">
        <f t="shared" si="26"/>
        <v>416500</v>
      </c>
      <c r="G45" s="14">
        <v>172500</v>
      </c>
      <c r="H45" s="14"/>
      <c r="I45" s="14">
        <f t="shared" si="27"/>
        <v>52823</v>
      </c>
      <c r="J45" s="14">
        <f t="shared" si="28"/>
        <v>37168.416666666664</v>
      </c>
      <c r="K45" s="14"/>
      <c r="L45" s="53"/>
      <c r="M45" s="14"/>
      <c r="N45" s="14"/>
      <c r="O45" s="53"/>
      <c r="P45" s="14"/>
      <c r="Q45" s="14"/>
      <c r="R45" s="14"/>
      <c r="S45" s="53">
        <f t="shared" si="29"/>
        <v>154008.58333333331</v>
      </c>
    </row>
    <row r="46" spans="1:21" ht="15.75" customHeight="1">
      <c r="A46" s="60">
        <v>44</v>
      </c>
      <c r="B46" s="26"/>
      <c r="C46" s="26"/>
      <c r="D46" s="62" t="s">
        <v>55</v>
      </c>
      <c r="E46" s="6">
        <v>6482</v>
      </c>
      <c r="F46" s="53">
        <f t="shared" si="26"/>
        <v>550970</v>
      </c>
      <c r="G46" s="14">
        <v>300000</v>
      </c>
      <c r="H46" s="14"/>
      <c r="I46" s="14">
        <f t="shared" si="27"/>
        <v>52823</v>
      </c>
      <c r="J46" s="14">
        <f t="shared" si="28"/>
        <v>37168.416666666664</v>
      </c>
      <c r="K46" s="14"/>
      <c r="L46" s="53"/>
      <c r="M46" s="14"/>
      <c r="N46" s="14"/>
      <c r="O46" s="53"/>
      <c r="P46" s="14"/>
      <c r="Q46" s="14"/>
      <c r="R46" s="14"/>
      <c r="S46" s="53">
        <f t="shared" si="29"/>
        <v>160978.58333333331</v>
      </c>
    </row>
    <row r="47" spans="1:21" ht="15.75" customHeight="1">
      <c r="A47" s="60">
        <v>45</v>
      </c>
      <c r="B47" s="26"/>
      <c r="C47" s="26"/>
      <c r="D47" s="62" t="s">
        <v>164</v>
      </c>
      <c r="E47" s="6">
        <v>5100</v>
      </c>
      <c r="F47" s="53">
        <f t="shared" si="26"/>
        <v>433500</v>
      </c>
      <c r="G47" s="14">
        <v>218000</v>
      </c>
      <c r="H47" s="14"/>
      <c r="I47" s="14">
        <f t="shared" si="27"/>
        <v>52823</v>
      </c>
      <c r="J47" s="14">
        <f t="shared" si="28"/>
        <v>37168.416666666664</v>
      </c>
      <c r="K47" s="14"/>
      <c r="L47" s="53"/>
      <c r="M47" s="14"/>
      <c r="N47" s="14"/>
      <c r="O47" s="59"/>
      <c r="P47" s="14"/>
      <c r="Q47" s="14"/>
      <c r="R47" s="14"/>
      <c r="S47" s="53">
        <f t="shared" si="29"/>
        <v>125508.58333333331</v>
      </c>
    </row>
    <row r="48" spans="1:21" ht="15.75" customHeight="1">
      <c r="A48" s="60">
        <v>46</v>
      </c>
      <c r="B48" s="26"/>
      <c r="C48" s="26" t="s">
        <v>70</v>
      </c>
      <c r="D48" s="63" t="s">
        <v>71</v>
      </c>
      <c r="E48" s="38">
        <v>114884</v>
      </c>
      <c r="F48" s="53">
        <v>114884</v>
      </c>
      <c r="G48" s="14">
        <v>114920</v>
      </c>
      <c r="H48" s="14"/>
      <c r="I48" s="14">
        <f t="shared" si="27"/>
        <v>52823</v>
      </c>
      <c r="J48" s="14">
        <f t="shared" si="28"/>
        <v>37168.416666666664</v>
      </c>
      <c r="K48" s="14"/>
      <c r="L48" s="53"/>
      <c r="M48" s="14"/>
      <c r="N48" s="53"/>
      <c r="O48" s="53"/>
      <c r="P48" s="14"/>
      <c r="Q48" s="14"/>
      <c r="R48" s="14"/>
      <c r="S48" s="53">
        <f t="shared" si="29"/>
        <v>-90027.416666666657</v>
      </c>
    </row>
    <row r="49" spans="1:27" ht="15.75" customHeight="1">
      <c r="A49" s="32"/>
      <c r="D49" s="32"/>
      <c r="O49" s="59"/>
    </row>
    <row r="50" spans="1:27" ht="15.75" customHeight="1">
      <c r="C50" s="35"/>
      <c r="D50" s="32"/>
      <c r="O50" s="59"/>
    </row>
    <row r="51" spans="1:27" ht="15.75" customHeight="1">
      <c r="D51" s="29" t="s">
        <v>82</v>
      </c>
      <c r="E51" s="29"/>
      <c r="F51" s="29"/>
      <c r="G51" s="29"/>
      <c r="H51" s="31">
        <f t="shared" ref="H51:S51" si="30">SUM(H2:H48)</f>
        <v>357745.18604651163</v>
      </c>
      <c r="I51" s="31">
        <f t="shared" si="30"/>
        <v>2324212</v>
      </c>
      <c r="J51" s="31">
        <f t="shared" si="30"/>
        <v>1635410.3333333342</v>
      </c>
      <c r="K51" s="31">
        <f t="shared" si="30"/>
        <v>442925.72093023214</v>
      </c>
      <c r="L51" s="30">
        <f t="shared" si="30"/>
        <v>554968.18604651175</v>
      </c>
      <c r="M51" s="30">
        <f t="shared" si="30"/>
        <v>133827.1395348837</v>
      </c>
      <c r="N51" s="30">
        <f t="shared" si="30"/>
        <v>1034702.6511627914</v>
      </c>
      <c r="O51" s="30">
        <f t="shared" si="30"/>
        <v>669415.04651162797</v>
      </c>
      <c r="P51" s="31">
        <f t="shared" si="30"/>
        <v>130597.39534883726</v>
      </c>
      <c r="Q51" s="31">
        <f t="shared" si="30"/>
        <v>55717.395348837177</v>
      </c>
      <c r="R51" s="30">
        <f t="shared" si="30"/>
        <v>18649.255813953496</v>
      </c>
      <c r="S51" s="30">
        <f t="shared" si="30"/>
        <v>-2367112.3100775178</v>
      </c>
    </row>
    <row r="52" spans="1:27" ht="13">
      <c r="D52" s="32"/>
      <c r="O52" s="59"/>
    </row>
    <row r="53" spans="1:27" ht="13">
      <c r="D53" s="32"/>
      <c r="O53" s="59"/>
    </row>
    <row r="54" spans="1:27" ht="13">
      <c r="D54" s="32"/>
      <c r="O54" s="59"/>
    </row>
    <row r="55" spans="1:27" ht="13">
      <c r="D55" s="32"/>
      <c r="O55" s="59"/>
    </row>
    <row r="56" spans="1:27" ht="13">
      <c r="D56" s="32"/>
      <c r="O56" s="59"/>
    </row>
    <row r="57" spans="1:27" ht="13">
      <c r="D57" s="32"/>
      <c r="O57" s="59"/>
    </row>
    <row r="58" spans="1:27" ht="13">
      <c r="D58" s="32"/>
      <c r="O58" s="59"/>
    </row>
    <row r="59" spans="1:27" ht="16">
      <c r="A59" s="15"/>
      <c r="B59" s="15"/>
      <c r="C59" s="15"/>
      <c r="D59" s="29"/>
      <c r="E59" s="15"/>
      <c r="F59" s="15"/>
      <c r="G59" s="16"/>
      <c r="H59" s="15"/>
      <c r="I59" s="15"/>
      <c r="J59" s="15"/>
      <c r="K59" s="15"/>
      <c r="L59" s="15"/>
      <c r="M59" s="15"/>
      <c r="N59" s="15"/>
      <c r="O59" s="18"/>
      <c r="P59" s="15"/>
      <c r="Q59" s="15"/>
      <c r="R59" s="15"/>
      <c r="S59" s="15"/>
    </row>
    <row r="60" spans="1:27" ht="16">
      <c r="A60" s="29"/>
      <c r="B60" s="29"/>
      <c r="C60" s="29"/>
      <c r="D60" s="32"/>
      <c r="O60" s="59"/>
      <c r="T60" s="32"/>
      <c r="U60" s="32"/>
      <c r="V60" s="32"/>
      <c r="W60" s="32"/>
      <c r="X60" s="32"/>
      <c r="Y60" s="32"/>
      <c r="Z60" s="32"/>
      <c r="AA60" s="32"/>
    </row>
    <row r="61" spans="1:27" ht="13">
      <c r="D61" s="32"/>
      <c r="O61" s="59"/>
    </row>
    <row r="62" spans="1:27" ht="13">
      <c r="D62" s="32"/>
      <c r="O62" s="59"/>
    </row>
    <row r="63" spans="1:27" ht="13">
      <c r="D63" s="32"/>
      <c r="O63" s="59"/>
    </row>
    <row r="64" spans="1:27" ht="13">
      <c r="D64" s="32"/>
      <c r="O64" s="59"/>
    </row>
    <row r="65" spans="4:15" ht="13">
      <c r="D65" s="32"/>
      <c r="O65" s="59"/>
    </row>
    <row r="66" spans="4:15" ht="13">
      <c r="D66" s="32"/>
      <c r="O66" s="59"/>
    </row>
    <row r="67" spans="4:15" ht="13">
      <c r="D67" s="32"/>
      <c r="O67" s="59"/>
    </row>
    <row r="68" spans="4:15" ht="13">
      <c r="D68" s="32"/>
      <c r="O68" s="59"/>
    </row>
    <row r="69" spans="4:15" ht="13">
      <c r="D69" s="32"/>
      <c r="O69" s="59"/>
    </row>
    <row r="70" spans="4:15" ht="13">
      <c r="D70" s="32"/>
      <c r="O70" s="59"/>
    </row>
    <row r="71" spans="4:15" ht="13">
      <c r="D71" s="32"/>
      <c r="O71" s="59"/>
    </row>
    <row r="72" spans="4:15" ht="13">
      <c r="D72" s="32"/>
      <c r="O72" s="59"/>
    </row>
    <row r="73" spans="4:15" ht="13">
      <c r="D73" s="32"/>
      <c r="O73" s="59"/>
    </row>
    <row r="74" spans="4:15" ht="13">
      <c r="D74" s="32"/>
      <c r="O74" s="59"/>
    </row>
    <row r="75" spans="4:15" ht="13">
      <c r="D75" s="32"/>
      <c r="O75" s="59"/>
    </row>
    <row r="76" spans="4:15" ht="13">
      <c r="D76" s="32"/>
      <c r="O76" s="59"/>
    </row>
    <row r="77" spans="4:15" ht="13">
      <c r="D77" s="32"/>
      <c r="O77" s="59"/>
    </row>
    <row r="78" spans="4:15" ht="13">
      <c r="D78" s="32"/>
      <c r="O78" s="59"/>
    </row>
    <row r="79" spans="4:15" ht="13">
      <c r="D79" s="32"/>
      <c r="O79" s="59"/>
    </row>
    <row r="80" spans="4:15" ht="13">
      <c r="D80" s="32"/>
      <c r="O80" s="59"/>
    </row>
    <row r="81" spans="4:15" ht="13">
      <c r="D81" s="32"/>
      <c r="O81" s="59"/>
    </row>
    <row r="82" spans="4:15" ht="13">
      <c r="D82" s="32"/>
      <c r="O82" s="59"/>
    </row>
    <row r="83" spans="4:15" ht="13">
      <c r="D83" s="32"/>
      <c r="O83" s="59"/>
    </row>
    <row r="84" spans="4:15" ht="13">
      <c r="D84" s="32"/>
      <c r="O84" s="59"/>
    </row>
    <row r="85" spans="4:15" ht="13">
      <c r="D85" s="32"/>
      <c r="O85" s="59"/>
    </row>
    <row r="86" spans="4:15" ht="13">
      <c r="D86" s="32"/>
      <c r="O86" s="59"/>
    </row>
    <row r="87" spans="4:15" ht="13">
      <c r="D87" s="32"/>
      <c r="O87" s="59"/>
    </row>
    <row r="88" spans="4:15" ht="13">
      <c r="D88" s="32"/>
      <c r="O88" s="59"/>
    </row>
    <row r="89" spans="4:15" ht="13">
      <c r="D89" s="32"/>
      <c r="O89" s="59"/>
    </row>
    <row r="90" spans="4:15" ht="13">
      <c r="D90" s="32"/>
      <c r="O90" s="59"/>
    </row>
    <row r="91" spans="4:15" ht="13">
      <c r="D91" s="32"/>
      <c r="O91" s="59"/>
    </row>
    <row r="92" spans="4:15" ht="13">
      <c r="D92" s="32"/>
      <c r="O92" s="59"/>
    </row>
    <row r="93" spans="4:15" ht="13">
      <c r="D93" s="32"/>
      <c r="O93" s="59"/>
    </row>
    <row r="94" spans="4:15" ht="13">
      <c r="D94" s="32"/>
      <c r="O94" s="59"/>
    </row>
    <row r="95" spans="4:15" ht="13">
      <c r="D95" s="32"/>
      <c r="O95" s="59"/>
    </row>
    <row r="96" spans="4:15" ht="13">
      <c r="D96" s="32"/>
      <c r="O96" s="59"/>
    </row>
    <row r="97" spans="4:15" ht="13">
      <c r="D97" s="32"/>
      <c r="O97" s="59"/>
    </row>
    <row r="98" spans="4:15" ht="13">
      <c r="D98" s="32"/>
      <c r="O98" s="59"/>
    </row>
    <row r="99" spans="4:15" ht="13">
      <c r="D99" s="32"/>
      <c r="O99" s="59"/>
    </row>
    <row r="100" spans="4:15" ht="13">
      <c r="D100" s="32"/>
      <c r="O100" s="59"/>
    </row>
    <row r="101" spans="4:15" ht="13">
      <c r="D101" s="32"/>
      <c r="O101" s="59"/>
    </row>
    <row r="102" spans="4:15" ht="13">
      <c r="D102" s="32"/>
      <c r="O102" s="59"/>
    </row>
    <row r="103" spans="4:15" ht="13">
      <c r="D103" s="32"/>
      <c r="O103" s="59"/>
    </row>
    <row r="104" spans="4:15" ht="13">
      <c r="D104" s="32"/>
      <c r="O104" s="59"/>
    </row>
    <row r="105" spans="4:15" ht="13">
      <c r="D105" s="32"/>
      <c r="O105" s="59"/>
    </row>
    <row r="106" spans="4:15" ht="13">
      <c r="D106" s="32"/>
      <c r="O106" s="59"/>
    </row>
    <row r="107" spans="4:15" ht="13">
      <c r="D107" s="32"/>
      <c r="O107" s="59"/>
    </row>
    <row r="108" spans="4:15" ht="13">
      <c r="D108" s="32"/>
      <c r="O108" s="59"/>
    </row>
    <row r="109" spans="4:15" ht="13">
      <c r="D109" s="32"/>
      <c r="O109" s="59"/>
    </row>
    <row r="110" spans="4:15" ht="13">
      <c r="D110" s="32"/>
      <c r="O110" s="59"/>
    </row>
    <row r="111" spans="4:15" ht="13">
      <c r="D111" s="32"/>
      <c r="O111" s="59"/>
    </row>
    <row r="112" spans="4:15" ht="13">
      <c r="D112" s="32"/>
      <c r="O112" s="59"/>
    </row>
    <row r="113" spans="3:15" ht="13">
      <c r="D113" s="32"/>
      <c r="O113" s="59"/>
    </row>
    <row r="114" spans="3:15" ht="13">
      <c r="D114" s="32"/>
      <c r="O114" s="59"/>
    </row>
    <row r="115" spans="3:15" ht="13">
      <c r="D115" s="32"/>
      <c r="O115" s="59"/>
    </row>
    <row r="116" spans="3:15" ht="13">
      <c r="D116" s="32"/>
      <c r="O116" s="59"/>
    </row>
    <row r="117" spans="3:15" ht="13">
      <c r="D117" s="32"/>
      <c r="O117" s="59"/>
    </row>
    <row r="118" spans="3:15" ht="13">
      <c r="D118" s="32"/>
      <c r="O118" s="59"/>
    </row>
    <row r="119" spans="3:15" ht="13">
      <c r="D119" s="32"/>
      <c r="O119" s="59"/>
    </row>
    <row r="120" spans="3:15" ht="13">
      <c r="D120" s="32"/>
      <c r="O120" s="59"/>
    </row>
    <row r="121" spans="3:15" ht="13">
      <c r="D121" s="32"/>
      <c r="O121" s="59"/>
    </row>
    <row r="122" spans="3:15" ht="13">
      <c r="D122" s="32"/>
      <c r="O122" s="59"/>
    </row>
    <row r="123" spans="3:15" ht="15">
      <c r="C123" s="64" t="s">
        <v>33</v>
      </c>
      <c r="D123" s="65">
        <v>44600</v>
      </c>
      <c r="O123" s="59"/>
    </row>
    <row r="124" spans="3:15" ht="15">
      <c r="C124" s="66" t="s">
        <v>165</v>
      </c>
      <c r="D124" s="65">
        <v>38800</v>
      </c>
      <c r="O124" s="59"/>
    </row>
    <row r="125" spans="3:15" ht="15">
      <c r="C125" s="66" t="s">
        <v>166</v>
      </c>
      <c r="D125" s="65">
        <v>46584</v>
      </c>
      <c r="O125" s="59"/>
    </row>
    <row r="126" spans="3:15" ht="15">
      <c r="C126" s="66" t="s">
        <v>86</v>
      </c>
      <c r="D126" s="65">
        <v>36402</v>
      </c>
      <c r="O126" s="59"/>
    </row>
    <row r="127" spans="3:15" ht="15">
      <c r="C127" s="66" t="s">
        <v>112</v>
      </c>
      <c r="D127" s="65">
        <v>43000</v>
      </c>
      <c r="O127" s="59"/>
    </row>
    <row r="128" spans="3:15" ht="15">
      <c r="C128" s="66" t="s">
        <v>42</v>
      </c>
      <c r="D128" s="65">
        <v>48800</v>
      </c>
      <c r="O128" s="59"/>
    </row>
    <row r="129" spans="1:15" ht="15">
      <c r="C129" s="66" t="s">
        <v>49</v>
      </c>
      <c r="D129" s="65">
        <v>46304</v>
      </c>
      <c r="O129" s="59"/>
    </row>
    <row r="130" spans="1:15" ht="15">
      <c r="C130" s="66" t="s">
        <v>167</v>
      </c>
      <c r="D130" s="65">
        <v>32742</v>
      </c>
      <c r="O130" s="59"/>
    </row>
    <row r="131" spans="1:15" ht="15">
      <c r="A131" s="9" t="s">
        <v>168</v>
      </c>
      <c r="B131" s="9" t="s">
        <v>111</v>
      </c>
      <c r="C131" s="41" t="s">
        <v>75</v>
      </c>
      <c r="D131" s="65">
        <v>77600</v>
      </c>
      <c r="O131" s="59"/>
    </row>
    <row r="132" spans="1:15" ht="15">
      <c r="C132" s="66" t="s">
        <v>169</v>
      </c>
      <c r="D132" s="65">
        <v>38904</v>
      </c>
      <c r="O132" s="59"/>
    </row>
    <row r="133" spans="1:15" ht="15">
      <c r="C133" s="66" t="s">
        <v>170</v>
      </c>
      <c r="D133" s="65">
        <v>63426</v>
      </c>
      <c r="O133" s="59"/>
    </row>
    <row r="134" spans="1:15" ht="15">
      <c r="C134" s="66" t="s">
        <v>171</v>
      </c>
      <c r="D134" s="65">
        <v>91887</v>
      </c>
      <c r="O134" s="59"/>
    </row>
    <row r="135" spans="1:15" ht="15">
      <c r="C135" s="66" t="s">
        <v>172</v>
      </c>
      <c r="D135" s="65">
        <v>70000</v>
      </c>
      <c r="O135" s="59"/>
    </row>
    <row r="136" spans="1:15" ht="13">
      <c r="D136" s="32"/>
      <c r="O136" s="59"/>
    </row>
    <row r="137" spans="1:15" ht="15">
      <c r="C137" s="66" t="s">
        <v>173</v>
      </c>
      <c r="D137" s="65">
        <v>42000</v>
      </c>
      <c r="O137" s="59"/>
    </row>
    <row r="138" spans="1:15" ht="15">
      <c r="C138" s="66" t="s">
        <v>174</v>
      </c>
      <c r="D138" s="65">
        <v>54057</v>
      </c>
      <c r="O138" s="59"/>
    </row>
    <row r="139" spans="1:15" ht="15">
      <c r="C139" s="66" t="s">
        <v>175</v>
      </c>
      <c r="D139" s="65">
        <v>106800</v>
      </c>
      <c r="O139" s="59"/>
    </row>
    <row r="140" spans="1:15" ht="15">
      <c r="C140" s="66" t="s">
        <v>176</v>
      </c>
      <c r="D140" s="65">
        <v>2762</v>
      </c>
      <c r="O140" s="59"/>
    </row>
    <row r="141" spans="1:15" ht="15">
      <c r="C141" s="66" t="s">
        <v>177</v>
      </c>
      <c r="D141" s="65">
        <v>67327</v>
      </c>
      <c r="O141" s="59"/>
    </row>
    <row r="142" spans="1:15" ht="15">
      <c r="C142" s="66" t="s">
        <v>178</v>
      </c>
      <c r="D142" s="65">
        <v>89115</v>
      </c>
      <c r="O142" s="59"/>
    </row>
    <row r="143" spans="1:15" ht="15">
      <c r="C143" s="64" t="s">
        <v>179</v>
      </c>
      <c r="D143" s="65">
        <v>41768</v>
      </c>
      <c r="O143" s="59"/>
    </row>
    <row r="144" spans="1:15" ht="15">
      <c r="C144" s="66" t="s">
        <v>180</v>
      </c>
      <c r="D144" s="65">
        <v>55520</v>
      </c>
      <c r="O144" s="59"/>
    </row>
    <row r="145" spans="3:15" ht="15">
      <c r="C145" s="66" t="s">
        <v>181</v>
      </c>
      <c r="D145" s="65">
        <v>84870</v>
      </c>
      <c r="O145" s="59"/>
    </row>
    <row r="146" spans="3:15" ht="15">
      <c r="C146" s="66" t="s">
        <v>182</v>
      </c>
      <c r="D146" s="65">
        <v>50963</v>
      </c>
      <c r="O146" s="59"/>
    </row>
    <row r="147" spans="3:15" ht="15">
      <c r="C147" s="66" t="s">
        <v>88</v>
      </c>
      <c r="D147" s="65">
        <v>39600</v>
      </c>
      <c r="O147" s="59"/>
    </row>
    <row r="148" spans="3:15" ht="15">
      <c r="C148" s="66" t="s">
        <v>67</v>
      </c>
      <c r="D148" s="65">
        <v>48775</v>
      </c>
      <c r="O148" s="59"/>
    </row>
    <row r="149" spans="3:15" ht="15">
      <c r="C149" s="66" t="s">
        <v>44</v>
      </c>
      <c r="D149" s="65">
        <v>49840</v>
      </c>
      <c r="O149" s="59"/>
    </row>
    <row r="150" spans="3:15" ht="15">
      <c r="C150" s="66" t="s">
        <v>183</v>
      </c>
      <c r="D150" s="65">
        <v>86356</v>
      </c>
      <c r="O150" s="59"/>
    </row>
    <row r="151" spans="3:15" ht="15">
      <c r="C151" s="66" t="s">
        <v>184</v>
      </c>
      <c r="D151" s="65">
        <v>37000</v>
      </c>
      <c r="O151" s="59"/>
    </row>
    <row r="152" spans="3:15" ht="15">
      <c r="C152" s="66" t="s">
        <v>185</v>
      </c>
      <c r="D152" s="65">
        <v>42360</v>
      </c>
      <c r="O152" s="59"/>
    </row>
    <row r="153" spans="3:15" ht="15">
      <c r="C153" s="66" t="s">
        <v>186</v>
      </c>
      <c r="D153" s="65">
        <v>53800</v>
      </c>
      <c r="O153" s="59"/>
    </row>
    <row r="154" spans="3:15" ht="15">
      <c r="C154" s="66" t="s">
        <v>65</v>
      </c>
      <c r="D154" s="65">
        <v>62600</v>
      </c>
      <c r="O154" s="59"/>
    </row>
    <row r="155" spans="3:15" ht="15">
      <c r="C155" s="66" t="s">
        <v>187</v>
      </c>
      <c r="D155" s="65">
        <v>46886</v>
      </c>
      <c r="O155" s="59"/>
    </row>
    <row r="156" spans="3:15" ht="15">
      <c r="C156" s="66" t="s">
        <v>71</v>
      </c>
      <c r="D156" s="65">
        <v>94167</v>
      </c>
      <c r="O156" s="59"/>
    </row>
    <row r="157" spans="3:15" ht="15">
      <c r="C157" s="66" t="s">
        <v>66</v>
      </c>
      <c r="D157" s="65">
        <v>50713</v>
      </c>
      <c r="O157" s="59"/>
    </row>
    <row r="158" spans="3:15" ht="15">
      <c r="C158" s="66" t="s">
        <v>40</v>
      </c>
      <c r="D158" s="65">
        <v>39168</v>
      </c>
      <c r="O158" s="59"/>
    </row>
    <row r="159" spans="3:15" ht="13">
      <c r="D159" s="32"/>
      <c r="O159" s="59"/>
    </row>
    <row r="160" spans="3:15" ht="15">
      <c r="C160" s="66" t="s">
        <v>91</v>
      </c>
      <c r="D160" s="65">
        <v>46714</v>
      </c>
      <c r="O160" s="59"/>
    </row>
    <row r="161" spans="1:15" ht="15">
      <c r="C161" s="66" t="s">
        <v>89</v>
      </c>
      <c r="D161" s="65">
        <v>60470</v>
      </c>
      <c r="O161" s="59"/>
    </row>
    <row r="162" spans="1:15" ht="15">
      <c r="C162" s="66" t="s">
        <v>188</v>
      </c>
      <c r="D162" s="65">
        <v>67531</v>
      </c>
      <c r="O162" s="59"/>
    </row>
    <row r="163" spans="1:15" ht="15">
      <c r="C163" s="66" t="s">
        <v>23</v>
      </c>
      <c r="D163" s="65">
        <v>36300</v>
      </c>
      <c r="O163" s="59"/>
    </row>
    <row r="164" spans="1:15" ht="15">
      <c r="C164" s="66" t="s">
        <v>189</v>
      </c>
      <c r="D164" s="65">
        <v>92000</v>
      </c>
      <c r="O164" s="59"/>
    </row>
    <row r="165" spans="1:15" ht="15">
      <c r="C165" s="66" t="s">
        <v>190</v>
      </c>
      <c r="D165" s="65">
        <v>75353</v>
      </c>
      <c r="O165" s="59"/>
    </row>
    <row r="166" spans="1:15" ht="15">
      <c r="C166" s="66" t="s">
        <v>58</v>
      </c>
      <c r="D166" s="65">
        <v>109430</v>
      </c>
      <c r="O166" s="59"/>
    </row>
    <row r="167" spans="1:15" ht="15">
      <c r="C167" s="66" t="s">
        <v>38</v>
      </c>
      <c r="D167" s="65">
        <v>63122</v>
      </c>
      <c r="O167" s="59"/>
    </row>
    <row r="168" spans="1:15" ht="15">
      <c r="C168" s="66" t="s">
        <v>51</v>
      </c>
      <c r="D168" s="65">
        <v>81068</v>
      </c>
      <c r="O168" s="59"/>
    </row>
    <row r="169" spans="1:15" ht="15">
      <c r="C169" s="66" t="s">
        <v>191</v>
      </c>
      <c r="D169" s="65">
        <v>88539</v>
      </c>
      <c r="O169" s="59"/>
    </row>
    <row r="170" spans="1:15" ht="15">
      <c r="C170" s="66" t="s">
        <v>192</v>
      </c>
      <c r="D170" s="65">
        <v>127801</v>
      </c>
      <c r="O170" s="59"/>
    </row>
    <row r="171" spans="1:15" ht="15">
      <c r="C171" s="66" t="s">
        <v>68</v>
      </c>
      <c r="D171" s="65">
        <v>58811</v>
      </c>
      <c r="O171" s="59"/>
    </row>
    <row r="172" spans="1:15" ht="15">
      <c r="A172" s="9" t="s">
        <v>193</v>
      </c>
      <c r="B172" s="9" t="s">
        <v>111</v>
      </c>
      <c r="C172" s="41" t="s">
        <v>113</v>
      </c>
      <c r="D172" s="65">
        <v>88835</v>
      </c>
      <c r="O172" s="59"/>
    </row>
    <row r="173" spans="1:15" ht="15">
      <c r="C173" s="66" t="s">
        <v>194</v>
      </c>
      <c r="D173" s="65">
        <v>45500</v>
      </c>
      <c r="O173" s="59"/>
    </row>
    <row r="174" spans="1:15" ht="15">
      <c r="C174" s="41"/>
      <c r="D174" s="65"/>
      <c r="O174" s="59"/>
    </row>
    <row r="175" spans="1:15" ht="13">
      <c r="D175" s="32"/>
      <c r="O175" s="59"/>
    </row>
    <row r="176" spans="1:15" ht="13">
      <c r="D176" s="32"/>
      <c r="O176" s="59"/>
    </row>
    <row r="177" spans="1:15" ht="15">
      <c r="B177" s="41" t="s">
        <v>195</v>
      </c>
      <c r="C177" s="41" t="s">
        <v>99</v>
      </c>
      <c r="D177" s="65">
        <v>20900</v>
      </c>
      <c r="O177" s="59"/>
    </row>
    <row r="178" spans="1:15" ht="15">
      <c r="B178" s="41" t="s">
        <v>196</v>
      </c>
      <c r="C178" s="41" t="s">
        <v>101</v>
      </c>
      <c r="D178" s="65">
        <v>13000</v>
      </c>
      <c r="O178" s="59"/>
    </row>
    <row r="179" spans="1:15" ht="15">
      <c r="B179" s="41" t="s">
        <v>197</v>
      </c>
      <c r="C179" s="41" t="s">
        <v>102</v>
      </c>
      <c r="D179" s="65">
        <v>32927</v>
      </c>
      <c r="O179" s="59"/>
    </row>
    <row r="180" spans="1:15" ht="15">
      <c r="B180" s="41" t="s">
        <v>197</v>
      </c>
      <c r="C180" s="41" t="s">
        <v>198</v>
      </c>
      <c r="D180" s="65">
        <v>46242</v>
      </c>
      <c r="O180" s="59"/>
    </row>
    <row r="181" spans="1:15" ht="15">
      <c r="B181" s="41" t="s">
        <v>195</v>
      </c>
      <c r="C181" s="41" t="s">
        <v>104</v>
      </c>
      <c r="D181" s="65">
        <v>150000</v>
      </c>
      <c r="O181" s="59"/>
    </row>
    <row r="182" spans="1:15" ht="15">
      <c r="B182" s="41" t="s">
        <v>195</v>
      </c>
      <c r="C182" s="41" t="s">
        <v>105</v>
      </c>
      <c r="D182" s="65">
        <v>110000</v>
      </c>
      <c r="O182" s="59"/>
    </row>
    <row r="183" spans="1:15" ht="15">
      <c r="B183" s="41" t="s">
        <v>195</v>
      </c>
      <c r="C183" s="41" t="s">
        <v>107</v>
      </c>
      <c r="D183" s="65">
        <v>958081</v>
      </c>
      <c r="O183" s="59"/>
    </row>
    <row r="184" spans="1:15" ht="15">
      <c r="A184" s="9" t="s">
        <v>199</v>
      </c>
      <c r="B184" s="41" t="s">
        <v>195</v>
      </c>
      <c r="C184" s="41" t="s">
        <v>106</v>
      </c>
      <c r="D184" s="65">
        <v>32796</v>
      </c>
      <c r="O184" s="59"/>
    </row>
    <row r="185" spans="1:15" ht="15">
      <c r="A185" s="9" t="s">
        <v>199</v>
      </c>
      <c r="B185" s="41" t="s">
        <v>111</v>
      </c>
      <c r="C185" s="41" t="s">
        <v>200</v>
      </c>
      <c r="D185" s="65">
        <v>48449</v>
      </c>
      <c r="O185" s="59"/>
    </row>
    <row r="186" spans="1:15" ht="15">
      <c r="A186" s="9" t="s">
        <v>201</v>
      </c>
      <c r="B186" s="41" t="s">
        <v>195</v>
      </c>
      <c r="C186" s="41" t="s">
        <v>202</v>
      </c>
      <c r="D186" s="65">
        <v>13514</v>
      </c>
      <c r="O186" s="59"/>
    </row>
    <row r="187" spans="1:15" ht="15">
      <c r="A187" s="9" t="s">
        <v>193</v>
      </c>
      <c r="B187" s="41" t="s">
        <v>195</v>
      </c>
      <c r="C187" s="41" t="s">
        <v>100</v>
      </c>
      <c r="D187" s="65">
        <v>143640</v>
      </c>
      <c r="O187" s="59"/>
    </row>
    <row r="188" spans="1:15" ht="13">
      <c r="D188" s="32"/>
      <c r="O188" s="59"/>
    </row>
    <row r="189" spans="1:15" ht="13">
      <c r="D189" s="32"/>
      <c r="O189" s="59"/>
    </row>
    <row r="190" spans="1:15" ht="13">
      <c r="D190" s="32"/>
      <c r="O190" s="59"/>
    </row>
    <row r="191" spans="1:15" ht="15">
      <c r="C191" s="41"/>
      <c r="D191" s="65"/>
      <c r="O191" s="59"/>
    </row>
    <row r="192" spans="1:15" ht="15">
      <c r="A192" s="41" t="s">
        <v>203</v>
      </c>
      <c r="B192" s="41" t="s">
        <v>94</v>
      </c>
      <c r="C192" s="67">
        <v>70600</v>
      </c>
      <c r="D192" s="32"/>
      <c r="O192" s="59"/>
    </row>
    <row r="193" spans="1:15" ht="15">
      <c r="A193" s="41" t="s">
        <v>203</v>
      </c>
      <c r="B193" s="41" t="s">
        <v>95</v>
      </c>
      <c r="C193" s="67">
        <v>32000</v>
      </c>
      <c r="D193" s="32"/>
      <c r="O193" s="59"/>
    </row>
    <row r="194" spans="1:15" ht="15">
      <c r="A194" s="9" t="s">
        <v>114</v>
      </c>
      <c r="B194" s="41" t="s">
        <v>96</v>
      </c>
      <c r="C194" s="67">
        <v>65700</v>
      </c>
      <c r="D194" s="32"/>
      <c r="O194" s="59"/>
    </row>
    <row r="195" spans="1:15" ht="15">
      <c r="A195" s="9" t="s">
        <v>114</v>
      </c>
      <c r="B195" s="41" t="s">
        <v>90</v>
      </c>
      <c r="C195" s="67">
        <v>145700</v>
      </c>
      <c r="D195" s="32"/>
      <c r="O195" s="59"/>
    </row>
    <row r="196" spans="1:15" ht="13">
      <c r="D196" s="32"/>
      <c r="O196" s="59"/>
    </row>
    <row r="197" spans="1:15" ht="15">
      <c r="A197" s="35" t="s">
        <v>115</v>
      </c>
      <c r="B197" s="35">
        <v>133707</v>
      </c>
      <c r="D197" s="32"/>
      <c r="O197" s="59"/>
    </row>
    <row r="198" spans="1:15" ht="15">
      <c r="A198" s="35" t="s">
        <v>116</v>
      </c>
      <c r="B198" s="35">
        <f>783000/12</f>
        <v>65250</v>
      </c>
      <c r="D198" s="32"/>
      <c r="O198" s="59"/>
    </row>
    <row r="199" spans="1:15" ht="15">
      <c r="A199" s="35" t="s">
        <v>117</v>
      </c>
      <c r="B199" s="35">
        <v>172635</v>
      </c>
      <c r="D199" s="32"/>
      <c r="O199" s="59"/>
    </row>
    <row r="200" spans="1:15" ht="15">
      <c r="A200" s="35" t="s">
        <v>118</v>
      </c>
      <c r="B200" s="35">
        <v>176484</v>
      </c>
      <c r="D200" s="32"/>
      <c r="O200" s="59"/>
    </row>
    <row r="201" spans="1:15" ht="15">
      <c r="A201" s="35" t="s">
        <v>119</v>
      </c>
      <c r="B201" s="36">
        <v>86785</v>
      </c>
      <c r="D201" s="32"/>
      <c r="O201" s="59"/>
    </row>
    <row r="202" spans="1:15" ht="13">
      <c r="D202" s="32"/>
      <c r="O202" s="59"/>
    </row>
    <row r="203" spans="1:15" ht="13">
      <c r="D203" s="32"/>
      <c r="O203" s="59"/>
    </row>
    <row r="204" spans="1:15" ht="13">
      <c r="D204" s="32"/>
      <c r="O204" s="59"/>
    </row>
    <row r="205" spans="1:15" ht="13">
      <c r="D205" s="32"/>
      <c r="O205" s="59"/>
    </row>
    <row r="206" spans="1:15" ht="13">
      <c r="D206" s="32"/>
      <c r="O206" s="59"/>
    </row>
    <row r="207" spans="1:15" ht="13">
      <c r="D207" s="32"/>
      <c r="O207" s="59"/>
    </row>
    <row r="208" spans="1:15" ht="13">
      <c r="D208" s="32"/>
      <c r="O208" s="59"/>
    </row>
    <row r="209" spans="4:15" ht="13">
      <c r="D209" s="32"/>
      <c r="O209" s="59"/>
    </row>
    <row r="210" spans="4:15" ht="13">
      <c r="D210" s="32"/>
      <c r="O210" s="59"/>
    </row>
    <row r="211" spans="4:15" ht="13">
      <c r="D211" s="32"/>
      <c r="O211" s="59"/>
    </row>
    <row r="212" spans="4:15" ht="13">
      <c r="D212" s="32"/>
      <c r="O212" s="59"/>
    </row>
    <row r="213" spans="4:15" ht="13">
      <c r="D213" s="32"/>
      <c r="O213" s="59"/>
    </row>
    <row r="214" spans="4:15" ht="13">
      <c r="D214" s="32"/>
      <c r="O214" s="59"/>
    </row>
    <row r="215" spans="4:15" ht="13">
      <c r="D215" s="32"/>
      <c r="O215" s="59"/>
    </row>
    <row r="216" spans="4:15" ht="13">
      <c r="D216" s="32"/>
      <c r="O216" s="59"/>
    </row>
    <row r="217" spans="4:15" ht="13">
      <c r="D217" s="32"/>
      <c r="O217" s="59"/>
    </row>
    <row r="218" spans="4:15" ht="13">
      <c r="D218" s="32"/>
      <c r="O218" s="59"/>
    </row>
    <row r="219" spans="4:15" ht="13">
      <c r="D219" s="32"/>
      <c r="O219" s="59"/>
    </row>
    <row r="220" spans="4:15" ht="13">
      <c r="D220" s="32"/>
      <c r="O220" s="59"/>
    </row>
    <row r="221" spans="4:15" ht="13">
      <c r="D221" s="32"/>
      <c r="O221" s="59"/>
    </row>
    <row r="222" spans="4:15" ht="13">
      <c r="D222" s="32"/>
      <c r="O222" s="59"/>
    </row>
    <row r="223" spans="4:15" ht="13">
      <c r="D223" s="32"/>
      <c r="O223" s="59"/>
    </row>
    <row r="224" spans="4:15" ht="13">
      <c r="D224" s="32"/>
      <c r="O224" s="59"/>
    </row>
    <row r="225" spans="4:15" ht="13">
      <c r="D225" s="32"/>
      <c r="O225" s="59"/>
    </row>
    <row r="226" spans="4:15" ht="13">
      <c r="D226" s="32"/>
      <c r="O226" s="59"/>
    </row>
    <row r="227" spans="4:15" ht="13">
      <c r="D227" s="32"/>
      <c r="O227" s="59"/>
    </row>
    <row r="228" spans="4:15" ht="13">
      <c r="D228" s="32"/>
      <c r="O228" s="59"/>
    </row>
    <row r="229" spans="4:15" ht="13">
      <c r="D229" s="32"/>
      <c r="O229" s="59"/>
    </row>
    <row r="230" spans="4:15" ht="13">
      <c r="D230" s="32"/>
      <c r="O230" s="59"/>
    </row>
    <row r="231" spans="4:15" ht="13">
      <c r="D231" s="32"/>
      <c r="O231" s="59"/>
    </row>
    <row r="232" spans="4:15" ht="13">
      <c r="D232" s="32"/>
      <c r="O232" s="59"/>
    </row>
    <row r="233" spans="4:15" ht="13">
      <c r="D233" s="32"/>
      <c r="O233" s="59"/>
    </row>
    <row r="234" spans="4:15" ht="13">
      <c r="D234" s="32"/>
      <c r="O234" s="59"/>
    </row>
    <row r="235" spans="4:15" ht="13">
      <c r="D235" s="32"/>
      <c r="O235" s="59"/>
    </row>
    <row r="236" spans="4:15" ht="13">
      <c r="D236" s="32"/>
      <c r="O236" s="59"/>
    </row>
    <row r="237" spans="4:15" ht="13">
      <c r="D237" s="32"/>
      <c r="O237" s="59"/>
    </row>
    <row r="238" spans="4:15" ht="13">
      <c r="D238" s="32"/>
      <c r="O238" s="59"/>
    </row>
    <row r="239" spans="4:15" ht="13">
      <c r="D239" s="32"/>
      <c r="O239" s="59"/>
    </row>
    <row r="240" spans="4:15" ht="13">
      <c r="D240" s="32"/>
      <c r="O240" s="59"/>
    </row>
    <row r="241" spans="4:15" ht="13">
      <c r="D241" s="32"/>
      <c r="O241" s="59"/>
    </row>
    <row r="242" spans="4:15" ht="13">
      <c r="D242" s="32"/>
      <c r="O242" s="59"/>
    </row>
    <row r="243" spans="4:15" ht="13">
      <c r="D243" s="32"/>
      <c r="O243" s="59"/>
    </row>
    <row r="244" spans="4:15" ht="13">
      <c r="D244" s="32"/>
      <c r="O244" s="59"/>
    </row>
    <row r="245" spans="4:15" ht="13">
      <c r="D245" s="32"/>
      <c r="O245" s="59"/>
    </row>
    <row r="246" spans="4:15" ht="13">
      <c r="D246" s="32"/>
      <c r="O246" s="59"/>
    </row>
    <row r="247" spans="4:15" ht="13">
      <c r="D247" s="32"/>
      <c r="O247" s="59"/>
    </row>
    <row r="248" spans="4:15" ht="13">
      <c r="D248" s="32"/>
      <c r="O248" s="59"/>
    </row>
    <row r="249" spans="4:15" ht="13">
      <c r="D249" s="32"/>
      <c r="O249" s="59"/>
    </row>
    <row r="250" spans="4:15" ht="13">
      <c r="D250" s="32"/>
      <c r="O250" s="59"/>
    </row>
    <row r="251" spans="4:15" ht="13">
      <c r="D251" s="32"/>
      <c r="O251" s="59"/>
    </row>
    <row r="252" spans="4:15" ht="13">
      <c r="D252" s="32"/>
      <c r="O252" s="59"/>
    </row>
    <row r="253" spans="4:15" ht="13">
      <c r="D253" s="32"/>
      <c r="O253" s="59"/>
    </row>
    <row r="254" spans="4:15" ht="13">
      <c r="D254" s="32"/>
      <c r="O254" s="59"/>
    </row>
    <row r="255" spans="4:15" ht="13">
      <c r="D255" s="32"/>
      <c r="O255" s="59"/>
    </row>
    <row r="256" spans="4:15" ht="13">
      <c r="D256" s="32"/>
      <c r="O256" s="59"/>
    </row>
    <row r="257" spans="4:15" ht="13">
      <c r="D257" s="32"/>
      <c r="O257" s="59"/>
    </row>
    <row r="258" spans="4:15" ht="13">
      <c r="D258" s="32"/>
      <c r="O258" s="59"/>
    </row>
    <row r="259" spans="4:15" ht="13">
      <c r="D259" s="32"/>
      <c r="O259" s="59"/>
    </row>
    <row r="260" spans="4:15" ht="13">
      <c r="D260" s="32"/>
      <c r="O260" s="59"/>
    </row>
    <row r="261" spans="4:15" ht="13">
      <c r="D261" s="32"/>
      <c r="O261" s="59"/>
    </row>
    <row r="262" spans="4:15" ht="13">
      <c r="D262" s="32"/>
      <c r="O262" s="59"/>
    </row>
    <row r="263" spans="4:15" ht="13">
      <c r="D263" s="32"/>
      <c r="O263" s="59"/>
    </row>
    <row r="264" spans="4:15" ht="13">
      <c r="D264" s="32"/>
      <c r="O264" s="59"/>
    </row>
    <row r="265" spans="4:15" ht="13">
      <c r="D265" s="32"/>
      <c r="O265" s="59"/>
    </row>
    <row r="266" spans="4:15" ht="13">
      <c r="D266" s="32"/>
      <c r="O266" s="59"/>
    </row>
    <row r="267" spans="4:15" ht="13">
      <c r="D267" s="32"/>
      <c r="O267" s="59"/>
    </row>
    <row r="268" spans="4:15" ht="13">
      <c r="D268" s="32"/>
      <c r="O268" s="59"/>
    </row>
    <row r="269" spans="4:15" ht="13">
      <c r="D269" s="32"/>
      <c r="O269" s="59"/>
    </row>
    <row r="270" spans="4:15" ht="13">
      <c r="D270" s="32"/>
      <c r="O270" s="59"/>
    </row>
    <row r="271" spans="4:15" ht="13">
      <c r="D271" s="32"/>
      <c r="O271" s="59"/>
    </row>
    <row r="272" spans="4:15" ht="13">
      <c r="D272" s="32"/>
      <c r="O272" s="59"/>
    </row>
    <row r="273" spans="4:15" ht="13">
      <c r="D273" s="32"/>
      <c r="O273" s="59"/>
    </row>
    <row r="274" spans="4:15" ht="13">
      <c r="D274" s="32"/>
      <c r="O274" s="59"/>
    </row>
    <row r="275" spans="4:15" ht="13">
      <c r="D275" s="32"/>
      <c r="O275" s="59"/>
    </row>
    <row r="276" spans="4:15" ht="13">
      <c r="D276" s="32"/>
      <c r="O276" s="59"/>
    </row>
    <row r="277" spans="4:15" ht="13">
      <c r="D277" s="32"/>
      <c r="O277" s="59"/>
    </row>
    <row r="278" spans="4:15" ht="13">
      <c r="D278" s="32"/>
      <c r="O278" s="59"/>
    </row>
    <row r="279" spans="4:15" ht="13">
      <c r="D279" s="32"/>
      <c r="O279" s="59"/>
    </row>
    <row r="280" spans="4:15" ht="13">
      <c r="D280" s="32"/>
      <c r="O280" s="59"/>
    </row>
    <row r="281" spans="4:15" ht="13">
      <c r="D281" s="32"/>
      <c r="O281" s="59"/>
    </row>
    <row r="282" spans="4:15" ht="13">
      <c r="D282" s="32"/>
      <c r="O282" s="59"/>
    </row>
    <row r="283" spans="4:15" ht="13">
      <c r="D283" s="32"/>
      <c r="O283" s="59"/>
    </row>
    <row r="284" spans="4:15" ht="13">
      <c r="D284" s="32"/>
      <c r="O284" s="59"/>
    </row>
    <row r="285" spans="4:15" ht="13">
      <c r="D285" s="32"/>
      <c r="O285" s="59"/>
    </row>
    <row r="286" spans="4:15" ht="13">
      <c r="D286" s="32"/>
      <c r="O286" s="59"/>
    </row>
    <row r="287" spans="4:15" ht="13">
      <c r="D287" s="32"/>
      <c r="O287" s="59"/>
    </row>
    <row r="288" spans="4:15" ht="13">
      <c r="D288" s="32"/>
      <c r="O288" s="59"/>
    </row>
    <row r="289" spans="4:15" ht="13">
      <c r="D289" s="32"/>
      <c r="O289" s="59"/>
    </row>
    <row r="290" spans="4:15" ht="13">
      <c r="D290" s="32"/>
      <c r="O290" s="59"/>
    </row>
    <row r="291" spans="4:15" ht="13">
      <c r="D291" s="32"/>
      <c r="O291" s="59"/>
    </row>
    <row r="292" spans="4:15" ht="13">
      <c r="D292" s="32"/>
      <c r="O292" s="59"/>
    </row>
    <row r="293" spans="4:15" ht="13">
      <c r="D293" s="32"/>
      <c r="O293" s="59"/>
    </row>
    <row r="294" spans="4:15" ht="13">
      <c r="D294" s="32"/>
      <c r="O294" s="59"/>
    </row>
    <row r="295" spans="4:15" ht="13">
      <c r="D295" s="32"/>
      <c r="O295" s="59"/>
    </row>
    <row r="296" spans="4:15" ht="13">
      <c r="D296" s="32"/>
      <c r="O296" s="59"/>
    </row>
    <row r="297" spans="4:15" ht="13">
      <c r="D297" s="32"/>
      <c r="O297" s="59"/>
    </row>
    <row r="298" spans="4:15" ht="13">
      <c r="D298" s="32"/>
      <c r="O298" s="59"/>
    </row>
    <row r="299" spans="4:15" ht="13">
      <c r="D299" s="32"/>
      <c r="O299" s="59"/>
    </row>
    <row r="300" spans="4:15" ht="13">
      <c r="D300" s="32"/>
      <c r="O300" s="59"/>
    </row>
    <row r="301" spans="4:15" ht="13">
      <c r="D301" s="32"/>
      <c r="O301" s="59"/>
    </row>
    <row r="302" spans="4:15" ht="13">
      <c r="D302" s="32"/>
      <c r="O302" s="59"/>
    </row>
    <row r="303" spans="4:15" ht="13">
      <c r="D303" s="32"/>
      <c r="O303" s="59"/>
    </row>
    <row r="304" spans="4:15" ht="13">
      <c r="D304" s="32"/>
      <c r="O304" s="59"/>
    </row>
    <row r="305" spans="4:15" ht="13">
      <c r="D305" s="32"/>
      <c r="O305" s="59"/>
    </row>
    <row r="306" spans="4:15" ht="13">
      <c r="D306" s="32"/>
      <c r="O306" s="59"/>
    </row>
    <row r="307" spans="4:15" ht="13">
      <c r="D307" s="32"/>
      <c r="O307" s="59"/>
    </row>
    <row r="308" spans="4:15" ht="13">
      <c r="D308" s="32"/>
      <c r="O308" s="59"/>
    </row>
    <row r="309" spans="4:15" ht="13">
      <c r="D309" s="32"/>
      <c r="O309" s="59"/>
    </row>
    <row r="310" spans="4:15" ht="13">
      <c r="D310" s="32"/>
      <c r="O310" s="59"/>
    </row>
    <row r="311" spans="4:15" ht="13">
      <c r="D311" s="32"/>
      <c r="O311" s="59"/>
    </row>
    <row r="312" spans="4:15" ht="13">
      <c r="D312" s="32"/>
      <c r="O312" s="59"/>
    </row>
    <row r="313" spans="4:15" ht="13">
      <c r="D313" s="32"/>
      <c r="O313" s="59"/>
    </row>
    <row r="314" spans="4:15" ht="13">
      <c r="D314" s="32"/>
      <c r="O314" s="59"/>
    </row>
    <row r="315" spans="4:15" ht="13">
      <c r="D315" s="32"/>
      <c r="O315" s="59"/>
    </row>
    <row r="316" spans="4:15" ht="13">
      <c r="D316" s="32"/>
      <c r="O316" s="59"/>
    </row>
    <row r="317" spans="4:15" ht="13">
      <c r="D317" s="32"/>
      <c r="O317" s="59"/>
    </row>
    <row r="318" spans="4:15" ht="13">
      <c r="D318" s="32"/>
      <c r="O318" s="59"/>
    </row>
    <row r="319" spans="4:15" ht="13">
      <c r="D319" s="32"/>
      <c r="O319" s="59"/>
    </row>
    <row r="320" spans="4:15" ht="13">
      <c r="D320" s="32"/>
      <c r="O320" s="59"/>
    </row>
    <row r="321" spans="4:15" ht="13">
      <c r="D321" s="32"/>
      <c r="O321" s="59"/>
    </row>
    <row r="322" spans="4:15" ht="13">
      <c r="D322" s="32"/>
      <c r="O322" s="59"/>
    </row>
    <row r="323" spans="4:15" ht="13">
      <c r="D323" s="32"/>
      <c r="O323" s="59"/>
    </row>
    <row r="324" spans="4:15" ht="13">
      <c r="D324" s="32"/>
      <c r="O324" s="59"/>
    </row>
    <row r="325" spans="4:15" ht="13">
      <c r="D325" s="32"/>
      <c r="O325" s="59"/>
    </row>
    <row r="326" spans="4:15" ht="13">
      <c r="D326" s="32"/>
      <c r="O326" s="59"/>
    </row>
    <row r="327" spans="4:15" ht="13">
      <c r="D327" s="32"/>
      <c r="O327" s="59"/>
    </row>
    <row r="328" spans="4:15" ht="13">
      <c r="D328" s="32"/>
      <c r="O328" s="59"/>
    </row>
    <row r="329" spans="4:15" ht="13">
      <c r="D329" s="32"/>
      <c r="O329" s="59"/>
    </row>
    <row r="330" spans="4:15" ht="13">
      <c r="D330" s="32"/>
      <c r="O330" s="59"/>
    </row>
    <row r="331" spans="4:15" ht="13">
      <c r="D331" s="32"/>
      <c r="O331" s="59"/>
    </row>
    <row r="332" spans="4:15" ht="13">
      <c r="D332" s="32"/>
      <c r="O332" s="59"/>
    </row>
    <row r="333" spans="4:15" ht="13">
      <c r="D333" s="32"/>
      <c r="O333" s="59"/>
    </row>
    <row r="334" spans="4:15" ht="13">
      <c r="D334" s="32"/>
      <c r="O334" s="59"/>
    </row>
    <row r="335" spans="4:15" ht="13">
      <c r="D335" s="32"/>
      <c r="O335" s="59"/>
    </row>
    <row r="336" spans="4:15" ht="13">
      <c r="D336" s="32"/>
      <c r="O336" s="59"/>
    </row>
    <row r="337" spans="4:15" ht="13">
      <c r="D337" s="32"/>
      <c r="O337" s="59"/>
    </row>
    <row r="338" spans="4:15" ht="13">
      <c r="D338" s="32"/>
      <c r="O338" s="59"/>
    </row>
    <row r="339" spans="4:15" ht="13">
      <c r="D339" s="32"/>
      <c r="O339" s="59"/>
    </row>
    <row r="340" spans="4:15" ht="13">
      <c r="D340" s="32"/>
      <c r="O340" s="59"/>
    </row>
    <row r="341" spans="4:15" ht="13">
      <c r="D341" s="32"/>
      <c r="O341" s="59"/>
    </row>
    <row r="342" spans="4:15" ht="13">
      <c r="D342" s="32"/>
      <c r="O342" s="59"/>
    </row>
    <row r="343" spans="4:15" ht="13">
      <c r="D343" s="32"/>
      <c r="O343" s="59"/>
    </row>
    <row r="344" spans="4:15" ht="13">
      <c r="D344" s="32"/>
      <c r="O344" s="59"/>
    </row>
    <row r="345" spans="4:15" ht="13">
      <c r="D345" s="32"/>
      <c r="O345" s="59"/>
    </row>
    <row r="346" spans="4:15" ht="13">
      <c r="D346" s="32"/>
      <c r="O346" s="59"/>
    </row>
    <row r="347" spans="4:15" ht="13">
      <c r="D347" s="32"/>
      <c r="O347" s="59"/>
    </row>
    <row r="348" spans="4:15" ht="13">
      <c r="D348" s="32"/>
      <c r="O348" s="59"/>
    </row>
    <row r="349" spans="4:15" ht="13">
      <c r="D349" s="32"/>
      <c r="O349" s="59"/>
    </row>
    <row r="350" spans="4:15" ht="13">
      <c r="D350" s="32"/>
      <c r="O350" s="59"/>
    </row>
    <row r="351" spans="4:15" ht="13">
      <c r="D351" s="32"/>
      <c r="O351" s="59"/>
    </row>
    <row r="352" spans="4:15" ht="13">
      <c r="D352" s="32"/>
      <c r="O352" s="59"/>
    </row>
    <row r="353" spans="4:15" ht="13">
      <c r="D353" s="32"/>
      <c r="O353" s="59"/>
    </row>
    <row r="354" spans="4:15" ht="13">
      <c r="D354" s="32"/>
      <c r="O354" s="59"/>
    </row>
    <row r="355" spans="4:15" ht="13">
      <c r="D355" s="32"/>
      <c r="O355" s="59"/>
    </row>
    <row r="356" spans="4:15" ht="13">
      <c r="D356" s="32"/>
      <c r="O356" s="59"/>
    </row>
    <row r="357" spans="4:15" ht="13">
      <c r="D357" s="32"/>
      <c r="O357" s="59"/>
    </row>
    <row r="358" spans="4:15" ht="13">
      <c r="D358" s="32"/>
      <c r="O358" s="59"/>
    </row>
    <row r="359" spans="4:15" ht="13">
      <c r="D359" s="32"/>
      <c r="O359" s="59"/>
    </row>
    <row r="360" spans="4:15" ht="13">
      <c r="D360" s="32"/>
      <c r="O360" s="59"/>
    </row>
    <row r="361" spans="4:15" ht="13">
      <c r="D361" s="32"/>
      <c r="O361" s="59"/>
    </row>
    <row r="362" spans="4:15" ht="13">
      <c r="D362" s="32"/>
      <c r="O362" s="59"/>
    </row>
    <row r="363" spans="4:15" ht="13">
      <c r="D363" s="32"/>
      <c r="O363" s="59"/>
    </row>
    <row r="364" spans="4:15" ht="13">
      <c r="D364" s="32"/>
      <c r="O364" s="59"/>
    </row>
    <row r="365" spans="4:15" ht="13">
      <c r="D365" s="32"/>
      <c r="O365" s="59"/>
    </row>
    <row r="366" spans="4:15" ht="13">
      <c r="D366" s="32"/>
      <c r="O366" s="59"/>
    </row>
    <row r="367" spans="4:15" ht="13">
      <c r="D367" s="32"/>
      <c r="O367" s="59"/>
    </row>
    <row r="368" spans="4:15" ht="13">
      <c r="D368" s="32"/>
      <c r="O368" s="59"/>
    </row>
    <row r="369" spans="4:15" ht="13">
      <c r="D369" s="32"/>
      <c r="O369" s="59"/>
    </row>
    <row r="370" spans="4:15" ht="13">
      <c r="D370" s="32"/>
      <c r="O370" s="59"/>
    </row>
    <row r="371" spans="4:15" ht="13">
      <c r="D371" s="32"/>
      <c r="O371" s="59"/>
    </row>
    <row r="372" spans="4:15" ht="13">
      <c r="D372" s="32"/>
      <c r="O372" s="59"/>
    </row>
    <row r="373" spans="4:15" ht="13">
      <c r="D373" s="32"/>
      <c r="O373" s="59"/>
    </row>
    <row r="374" spans="4:15" ht="13">
      <c r="D374" s="32"/>
      <c r="O374" s="59"/>
    </row>
    <row r="375" spans="4:15" ht="13">
      <c r="D375" s="32"/>
      <c r="O375" s="59"/>
    </row>
    <row r="376" spans="4:15" ht="13">
      <c r="D376" s="32"/>
      <c r="O376" s="59"/>
    </row>
    <row r="377" spans="4:15" ht="13">
      <c r="D377" s="32"/>
      <c r="O377" s="59"/>
    </row>
    <row r="378" spans="4:15" ht="13">
      <c r="D378" s="32"/>
      <c r="O378" s="59"/>
    </row>
    <row r="379" spans="4:15" ht="13">
      <c r="D379" s="32"/>
      <c r="O379" s="59"/>
    </row>
    <row r="380" spans="4:15" ht="13">
      <c r="D380" s="32"/>
      <c r="O380" s="59"/>
    </row>
    <row r="381" spans="4:15" ht="13">
      <c r="D381" s="32"/>
      <c r="O381" s="59"/>
    </row>
    <row r="382" spans="4:15" ht="13">
      <c r="D382" s="32"/>
      <c r="O382" s="59"/>
    </row>
    <row r="383" spans="4:15" ht="13">
      <c r="D383" s="32"/>
      <c r="O383" s="59"/>
    </row>
    <row r="384" spans="4:15" ht="13">
      <c r="D384" s="32"/>
      <c r="O384" s="59"/>
    </row>
    <row r="385" spans="4:15" ht="13">
      <c r="D385" s="32"/>
      <c r="O385" s="59"/>
    </row>
    <row r="386" spans="4:15" ht="13">
      <c r="D386" s="32"/>
      <c r="O386" s="59"/>
    </row>
    <row r="387" spans="4:15" ht="13">
      <c r="D387" s="32"/>
      <c r="O387" s="59"/>
    </row>
    <row r="388" spans="4:15" ht="13">
      <c r="D388" s="32"/>
      <c r="O388" s="59"/>
    </row>
    <row r="389" spans="4:15" ht="13">
      <c r="D389" s="32"/>
      <c r="O389" s="59"/>
    </row>
    <row r="390" spans="4:15" ht="13">
      <c r="D390" s="32"/>
      <c r="O390" s="59"/>
    </row>
    <row r="391" spans="4:15" ht="13">
      <c r="D391" s="32"/>
      <c r="O391" s="59"/>
    </row>
    <row r="392" spans="4:15" ht="13">
      <c r="D392" s="32"/>
      <c r="O392" s="59"/>
    </row>
    <row r="393" spans="4:15" ht="13">
      <c r="D393" s="32"/>
      <c r="O393" s="59"/>
    </row>
    <row r="394" spans="4:15" ht="13">
      <c r="D394" s="32"/>
      <c r="O394" s="59"/>
    </row>
    <row r="395" spans="4:15" ht="13">
      <c r="D395" s="32"/>
      <c r="O395" s="59"/>
    </row>
    <row r="396" spans="4:15" ht="13">
      <c r="D396" s="32"/>
      <c r="O396" s="59"/>
    </row>
    <row r="397" spans="4:15" ht="13">
      <c r="D397" s="32"/>
      <c r="O397" s="59"/>
    </row>
    <row r="398" spans="4:15" ht="13">
      <c r="D398" s="32"/>
      <c r="O398" s="59"/>
    </row>
    <row r="399" spans="4:15" ht="13">
      <c r="D399" s="32"/>
      <c r="O399" s="59"/>
    </row>
    <row r="400" spans="4:15" ht="13">
      <c r="D400" s="32"/>
      <c r="O400" s="59"/>
    </row>
    <row r="401" spans="4:15" ht="13">
      <c r="D401" s="32"/>
      <c r="O401" s="59"/>
    </row>
    <row r="402" spans="4:15" ht="13">
      <c r="D402" s="32"/>
      <c r="O402" s="59"/>
    </row>
    <row r="403" spans="4:15" ht="13">
      <c r="D403" s="32"/>
      <c r="O403" s="59"/>
    </row>
    <row r="404" spans="4:15" ht="13">
      <c r="D404" s="32"/>
      <c r="O404" s="59"/>
    </row>
    <row r="405" spans="4:15" ht="13">
      <c r="D405" s="32"/>
      <c r="O405" s="59"/>
    </row>
    <row r="406" spans="4:15" ht="13">
      <c r="D406" s="32"/>
      <c r="O406" s="59"/>
    </row>
    <row r="407" spans="4:15" ht="13">
      <c r="D407" s="32"/>
      <c r="O407" s="59"/>
    </row>
    <row r="408" spans="4:15" ht="13">
      <c r="D408" s="32"/>
      <c r="O408" s="59"/>
    </row>
    <row r="409" spans="4:15" ht="13">
      <c r="D409" s="32"/>
      <c r="O409" s="59"/>
    </row>
    <row r="410" spans="4:15" ht="13">
      <c r="D410" s="32"/>
      <c r="O410" s="59"/>
    </row>
    <row r="411" spans="4:15" ht="13">
      <c r="D411" s="32"/>
      <c r="O411" s="59"/>
    </row>
    <row r="412" spans="4:15" ht="13">
      <c r="D412" s="32"/>
      <c r="O412" s="59"/>
    </row>
    <row r="413" spans="4:15" ht="13">
      <c r="D413" s="32"/>
      <c r="O413" s="59"/>
    </row>
    <row r="414" spans="4:15" ht="13">
      <c r="D414" s="32"/>
      <c r="O414" s="59"/>
    </row>
    <row r="415" spans="4:15" ht="13">
      <c r="D415" s="32"/>
      <c r="O415" s="59"/>
    </row>
    <row r="416" spans="4:15" ht="13">
      <c r="D416" s="32"/>
      <c r="O416" s="59"/>
    </row>
    <row r="417" spans="4:15" ht="13">
      <c r="D417" s="32"/>
      <c r="O417" s="59"/>
    </row>
    <row r="418" spans="4:15" ht="13">
      <c r="D418" s="32"/>
      <c r="O418" s="59"/>
    </row>
    <row r="419" spans="4:15" ht="13">
      <c r="D419" s="32"/>
      <c r="O419" s="59"/>
    </row>
    <row r="420" spans="4:15" ht="13">
      <c r="D420" s="32"/>
      <c r="O420" s="59"/>
    </row>
    <row r="421" spans="4:15" ht="13">
      <c r="D421" s="32"/>
      <c r="O421" s="59"/>
    </row>
    <row r="422" spans="4:15" ht="13">
      <c r="D422" s="32"/>
      <c r="O422" s="59"/>
    </row>
    <row r="423" spans="4:15" ht="13">
      <c r="D423" s="32"/>
      <c r="O423" s="59"/>
    </row>
    <row r="424" spans="4:15" ht="13">
      <c r="D424" s="32"/>
      <c r="O424" s="59"/>
    </row>
    <row r="425" spans="4:15" ht="13">
      <c r="D425" s="32"/>
      <c r="O425" s="59"/>
    </row>
    <row r="426" spans="4:15" ht="13">
      <c r="D426" s="32"/>
      <c r="O426" s="59"/>
    </row>
    <row r="427" spans="4:15" ht="13">
      <c r="D427" s="32"/>
      <c r="O427" s="59"/>
    </row>
    <row r="428" spans="4:15" ht="13">
      <c r="D428" s="32"/>
      <c r="O428" s="59"/>
    </row>
    <row r="429" spans="4:15" ht="13">
      <c r="D429" s="32"/>
      <c r="O429" s="59"/>
    </row>
    <row r="430" spans="4:15" ht="13">
      <c r="D430" s="32"/>
      <c r="O430" s="59"/>
    </row>
    <row r="431" spans="4:15" ht="13">
      <c r="D431" s="32"/>
      <c r="O431" s="59"/>
    </row>
    <row r="432" spans="4:15" ht="13">
      <c r="D432" s="32"/>
      <c r="O432" s="59"/>
    </row>
    <row r="433" spans="4:15" ht="13">
      <c r="D433" s="32"/>
      <c r="O433" s="59"/>
    </row>
    <row r="434" spans="4:15" ht="13">
      <c r="D434" s="32"/>
      <c r="O434" s="59"/>
    </row>
    <row r="435" spans="4:15" ht="13">
      <c r="D435" s="32"/>
      <c r="O435" s="59"/>
    </row>
    <row r="436" spans="4:15" ht="13">
      <c r="D436" s="32"/>
      <c r="O436" s="59"/>
    </row>
    <row r="437" spans="4:15" ht="13">
      <c r="D437" s="32"/>
      <c r="O437" s="59"/>
    </row>
    <row r="438" spans="4:15" ht="13">
      <c r="D438" s="32"/>
      <c r="O438" s="59"/>
    </row>
    <row r="439" spans="4:15" ht="13">
      <c r="D439" s="32"/>
      <c r="O439" s="59"/>
    </row>
    <row r="440" spans="4:15" ht="13">
      <c r="D440" s="32"/>
      <c r="O440" s="59"/>
    </row>
    <row r="441" spans="4:15" ht="13">
      <c r="D441" s="32"/>
      <c r="O441" s="59"/>
    </row>
    <row r="442" spans="4:15" ht="13">
      <c r="D442" s="32"/>
      <c r="O442" s="59"/>
    </row>
    <row r="443" spans="4:15" ht="13">
      <c r="D443" s="32"/>
      <c r="O443" s="59"/>
    </row>
    <row r="444" spans="4:15" ht="13">
      <c r="D444" s="32"/>
      <c r="O444" s="59"/>
    </row>
    <row r="445" spans="4:15" ht="13">
      <c r="D445" s="32"/>
      <c r="O445" s="59"/>
    </row>
    <row r="446" spans="4:15" ht="13">
      <c r="D446" s="32"/>
      <c r="O446" s="59"/>
    </row>
    <row r="447" spans="4:15" ht="13">
      <c r="D447" s="32"/>
      <c r="O447" s="59"/>
    </row>
    <row r="448" spans="4:15" ht="13">
      <c r="D448" s="32"/>
      <c r="O448" s="59"/>
    </row>
    <row r="449" spans="4:15" ht="13">
      <c r="D449" s="32"/>
      <c r="O449" s="59"/>
    </row>
    <row r="450" spans="4:15" ht="13">
      <c r="D450" s="32"/>
      <c r="O450" s="59"/>
    </row>
    <row r="451" spans="4:15" ht="13">
      <c r="D451" s="32"/>
      <c r="O451" s="59"/>
    </row>
    <row r="452" spans="4:15" ht="13">
      <c r="D452" s="32"/>
      <c r="O452" s="59"/>
    </row>
    <row r="453" spans="4:15" ht="13">
      <c r="D453" s="32"/>
      <c r="O453" s="59"/>
    </row>
    <row r="454" spans="4:15" ht="13">
      <c r="D454" s="32"/>
      <c r="O454" s="59"/>
    </row>
    <row r="455" spans="4:15" ht="13">
      <c r="D455" s="32"/>
      <c r="O455" s="59"/>
    </row>
    <row r="456" spans="4:15" ht="13">
      <c r="D456" s="32"/>
      <c r="O456" s="59"/>
    </row>
    <row r="457" spans="4:15" ht="13">
      <c r="D457" s="32"/>
      <c r="O457" s="59"/>
    </row>
    <row r="458" spans="4:15" ht="13">
      <c r="D458" s="32"/>
      <c r="O458" s="59"/>
    </row>
    <row r="459" spans="4:15" ht="13">
      <c r="D459" s="32"/>
      <c r="O459" s="59"/>
    </row>
    <row r="460" spans="4:15" ht="13">
      <c r="D460" s="32"/>
      <c r="O460" s="59"/>
    </row>
    <row r="461" spans="4:15" ht="13">
      <c r="D461" s="32"/>
      <c r="O461" s="59"/>
    </row>
    <row r="462" spans="4:15" ht="13">
      <c r="D462" s="32"/>
      <c r="O462" s="59"/>
    </row>
    <row r="463" spans="4:15" ht="13">
      <c r="D463" s="32"/>
      <c r="O463" s="59"/>
    </row>
    <row r="464" spans="4:15" ht="13">
      <c r="D464" s="32"/>
      <c r="O464" s="59"/>
    </row>
    <row r="465" spans="4:15" ht="13">
      <c r="D465" s="32"/>
      <c r="O465" s="59"/>
    </row>
    <row r="466" spans="4:15" ht="13">
      <c r="D466" s="32"/>
      <c r="O466" s="59"/>
    </row>
    <row r="467" spans="4:15" ht="13">
      <c r="D467" s="32"/>
      <c r="O467" s="59"/>
    </row>
    <row r="468" spans="4:15" ht="13">
      <c r="D468" s="32"/>
      <c r="O468" s="59"/>
    </row>
    <row r="469" spans="4:15" ht="13">
      <c r="D469" s="32"/>
      <c r="O469" s="59"/>
    </row>
    <row r="470" spans="4:15" ht="13">
      <c r="D470" s="32"/>
      <c r="O470" s="59"/>
    </row>
    <row r="471" spans="4:15" ht="13">
      <c r="D471" s="32"/>
      <c r="O471" s="59"/>
    </row>
    <row r="472" spans="4:15" ht="13">
      <c r="D472" s="32"/>
      <c r="O472" s="59"/>
    </row>
    <row r="473" spans="4:15" ht="13">
      <c r="D473" s="32"/>
      <c r="O473" s="59"/>
    </row>
    <row r="474" spans="4:15" ht="13">
      <c r="D474" s="32"/>
      <c r="O474" s="59"/>
    </row>
    <row r="475" spans="4:15" ht="13">
      <c r="D475" s="32"/>
      <c r="O475" s="59"/>
    </row>
    <row r="476" spans="4:15" ht="13">
      <c r="D476" s="32"/>
      <c r="O476" s="59"/>
    </row>
    <row r="477" spans="4:15" ht="13">
      <c r="D477" s="32"/>
      <c r="O477" s="59"/>
    </row>
    <row r="478" spans="4:15" ht="13">
      <c r="D478" s="32"/>
      <c r="O478" s="59"/>
    </row>
    <row r="479" spans="4:15" ht="13">
      <c r="D479" s="32"/>
      <c r="O479" s="59"/>
    </row>
    <row r="480" spans="4:15" ht="13">
      <c r="D480" s="32"/>
      <c r="O480" s="59"/>
    </row>
    <row r="481" spans="4:15" ht="13">
      <c r="D481" s="32"/>
      <c r="O481" s="59"/>
    </row>
    <row r="482" spans="4:15" ht="13">
      <c r="D482" s="32"/>
      <c r="O482" s="59"/>
    </row>
    <row r="483" spans="4:15" ht="13">
      <c r="D483" s="32"/>
      <c r="O483" s="59"/>
    </row>
    <row r="484" spans="4:15" ht="13">
      <c r="D484" s="32"/>
      <c r="O484" s="59"/>
    </row>
    <row r="485" spans="4:15" ht="13">
      <c r="D485" s="32"/>
      <c r="O485" s="59"/>
    </row>
    <row r="486" spans="4:15" ht="13">
      <c r="D486" s="32"/>
      <c r="O486" s="59"/>
    </row>
    <row r="487" spans="4:15" ht="13">
      <c r="D487" s="32"/>
      <c r="O487" s="59"/>
    </row>
    <row r="488" spans="4:15" ht="13">
      <c r="D488" s="32"/>
      <c r="O488" s="59"/>
    </row>
    <row r="489" spans="4:15" ht="13">
      <c r="D489" s="32"/>
      <c r="O489" s="59"/>
    </row>
    <row r="490" spans="4:15" ht="13">
      <c r="D490" s="32"/>
      <c r="O490" s="59"/>
    </row>
    <row r="491" spans="4:15" ht="13">
      <c r="D491" s="32"/>
      <c r="O491" s="59"/>
    </row>
    <row r="492" spans="4:15" ht="13">
      <c r="D492" s="32"/>
      <c r="O492" s="59"/>
    </row>
    <row r="493" spans="4:15" ht="13">
      <c r="D493" s="32"/>
      <c r="O493" s="59"/>
    </row>
    <row r="494" spans="4:15" ht="13">
      <c r="D494" s="32"/>
      <c r="O494" s="59"/>
    </row>
    <row r="495" spans="4:15" ht="13">
      <c r="D495" s="32"/>
      <c r="O495" s="59"/>
    </row>
    <row r="496" spans="4:15" ht="13">
      <c r="D496" s="32"/>
      <c r="O496" s="59"/>
    </row>
    <row r="497" spans="4:15" ht="13">
      <c r="D497" s="32"/>
      <c r="O497" s="59"/>
    </row>
    <row r="498" spans="4:15" ht="13">
      <c r="D498" s="32"/>
      <c r="O498" s="59"/>
    </row>
    <row r="499" spans="4:15" ht="13">
      <c r="D499" s="32"/>
      <c r="O499" s="59"/>
    </row>
    <row r="500" spans="4:15" ht="13">
      <c r="D500" s="32"/>
      <c r="O500" s="59"/>
    </row>
    <row r="501" spans="4:15" ht="13">
      <c r="D501" s="32"/>
      <c r="O501" s="59"/>
    </row>
    <row r="502" spans="4:15" ht="13">
      <c r="D502" s="32"/>
      <c r="O502" s="59"/>
    </row>
    <row r="503" spans="4:15" ht="13">
      <c r="D503" s="32"/>
      <c r="O503" s="59"/>
    </row>
    <row r="504" spans="4:15" ht="13">
      <c r="D504" s="32"/>
      <c r="O504" s="59"/>
    </row>
    <row r="505" spans="4:15" ht="13">
      <c r="D505" s="32"/>
      <c r="O505" s="59"/>
    </row>
    <row r="506" spans="4:15" ht="13">
      <c r="D506" s="32"/>
      <c r="O506" s="59"/>
    </row>
    <row r="507" spans="4:15" ht="13">
      <c r="D507" s="32"/>
      <c r="O507" s="59"/>
    </row>
    <row r="508" spans="4:15" ht="13">
      <c r="D508" s="32"/>
      <c r="O508" s="59"/>
    </row>
    <row r="509" spans="4:15" ht="13">
      <c r="D509" s="32"/>
      <c r="O509" s="59"/>
    </row>
    <row r="510" spans="4:15" ht="13">
      <c r="D510" s="32"/>
      <c r="O510" s="59"/>
    </row>
    <row r="511" spans="4:15" ht="13">
      <c r="D511" s="32"/>
      <c r="O511" s="59"/>
    </row>
    <row r="512" spans="4:15" ht="13">
      <c r="D512" s="32"/>
      <c r="O512" s="59"/>
    </row>
    <row r="513" spans="4:15" ht="13">
      <c r="D513" s="32"/>
      <c r="O513" s="59"/>
    </row>
    <row r="514" spans="4:15" ht="13">
      <c r="D514" s="32"/>
      <c r="O514" s="59"/>
    </row>
    <row r="515" spans="4:15" ht="13">
      <c r="D515" s="32"/>
      <c r="O515" s="59"/>
    </row>
    <row r="516" spans="4:15" ht="13">
      <c r="D516" s="32"/>
      <c r="O516" s="59"/>
    </row>
    <row r="517" spans="4:15" ht="13">
      <c r="D517" s="32"/>
      <c r="O517" s="59"/>
    </row>
    <row r="518" spans="4:15" ht="13">
      <c r="D518" s="32"/>
      <c r="O518" s="59"/>
    </row>
    <row r="519" spans="4:15" ht="13">
      <c r="D519" s="32"/>
      <c r="O519" s="59"/>
    </row>
    <row r="520" spans="4:15" ht="13">
      <c r="D520" s="32"/>
      <c r="O520" s="59"/>
    </row>
    <row r="521" spans="4:15" ht="13">
      <c r="D521" s="32"/>
      <c r="O521" s="59"/>
    </row>
    <row r="522" spans="4:15" ht="13">
      <c r="D522" s="32"/>
      <c r="O522" s="59"/>
    </row>
    <row r="523" spans="4:15" ht="13">
      <c r="D523" s="32"/>
      <c r="O523" s="59"/>
    </row>
    <row r="524" spans="4:15" ht="13">
      <c r="D524" s="32"/>
      <c r="O524" s="59"/>
    </row>
    <row r="525" spans="4:15" ht="13">
      <c r="D525" s="32"/>
      <c r="O525" s="59"/>
    </row>
    <row r="526" spans="4:15" ht="13">
      <c r="D526" s="32"/>
      <c r="O526" s="59"/>
    </row>
    <row r="527" spans="4:15" ht="13">
      <c r="D527" s="32"/>
      <c r="O527" s="59"/>
    </row>
    <row r="528" spans="4:15" ht="13">
      <c r="D528" s="32"/>
      <c r="O528" s="59"/>
    </row>
    <row r="529" spans="4:15" ht="13">
      <c r="D529" s="32"/>
      <c r="O529" s="59"/>
    </row>
    <row r="530" spans="4:15" ht="13">
      <c r="D530" s="32"/>
      <c r="O530" s="59"/>
    </row>
    <row r="531" spans="4:15" ht="13">
      <c r="D531" s="32"/>
      <c r="O531" s="59"/>
    </row>
    <row r="532" spans="4:15" ht="13">
      <c r="D532" s="32"/>
      <c r="O532" s="59"/>
    </row>
    <row r="533" spans="4:15" ht="13">
      <c r="D533" s="32"/>
      <c r="O533" s="59"/>
    </row>
    <row r="534" spans="4:15" ht="13">
      <c r="D534" s="32"/>
      <c r="O534" s="59"/>
    </row>
    <row r="535" spans="4:15" ht="13">
      <c r="D535" s="32"/>
      <c r="O535" s="59"/>
    </row>
    <row r="536" spans="4:15" ht="13">
      <c r="D536" s="32"/>
      <c r="O536" s="59"/>
    </row>
    <row r="537" spans="4:15" ht="13">
      <c r="D537" s="32"/>
      <c r="O537" s="59"/>
    </row>
    <row r="538" spans="4:15" ht="13">
      <c r="D538" s="32"/>
      <c r="O538" s="59"/>
    </row>
    <row r="539" spans="4:15" ht="13">
      <c r="D539" s="32"/>
      <c r="O539" s="59"/>
    </row>
    <row r="540" spans="4:15" ht="13">
      <c r="D540" s="32"/>
      <c r="O540" s="59"/>
    </row>
    <row r="541" spans="4:15" ht="13">
      <c r="D541" s="32"/>
      <c r="O541" s="59"/>
    </row>
    <row r="542" spans="4:15" ht="13">
      <c r="D542" s="32"/>
      <c r="O542" s="59"/>
    </row>
    <row r="543" spans="4:15" ht="13">
      <c r="D543" s="32"/>
      <c r="O543" s="59"/>
    </row>
    <row r="544" spans="4:15" ht="13">
      <c r="D544" s="32"/>
      <c r="O544" s="59"/>
    </row>
    <row r="545" spans="4:15" ht="13">
      <c r="D545" s="32"/>
      <c r="O545" s="59"/>
    </row>
    <row r="546" spans="4:15" ht="13">
      <c r="D546" s="32"/>
      <c r="O546" s="59"/>
    </row>
    <row r="547" spans="4:15" ht="13">
      <c r="D547" s="32"/>
      <c r="O547" s="59"/>
    </row>
    <row r="548" spans="4:15" ht="13">
      <c r="D548" s="32"/>
      <c r="O548" s="59"/>
    </row>
    <row r="549" spans="4:15" ht="13">
      <c r="D549" s="32"/>
      <c r="O549" s="59"/>
    </row>
    <row r="550" spans="4:15" ht="13">
      <c r="D550" s="32"/>
      <c r="O550" s="59"/>
    </row>
    <row r="551" spans="4:15" ht="13">
      <c r="D551" s="32"/>
      <c r="O551" s="59"/>
    </row>
    <row r="552" spans="4:15" ht="13">
      <c r="D552" s="32"/>
      <c r="O552" s="59"/>
    </row>
    <row r="553" spans="4:15" ht="13">
      <c r="D553" s="32"/>
      <c r="O553" s="59"/>
    </row>
    <row r="554" spans="4:15" ht="13">
      <c r="D554" s="32"/>
      <c r="O554" s="59"/>
    </row>
    <row r="555" spans="4:15" ht="13">
      <c r="D555" s="32"/>
      <c r="O555" s="59"/>
    </row>
    <row r="556" spans="4:15" ht="13">
      <c r="D556" s="32"/>
      <c r="O556" s="59"/>
    </row>
    <row r="557" spans="4:15" ht="13">
      <c r="D557" s="32"/>
      <c r="O557" s="59"/>
    </row>
    <row r="558" spans="4:15" ht="13">
      <c r="D558" s="32"/>
      <c r="O558" s="59"/>
    </row>
    <row r="559" spans="4:15" ht="13">
      <c r="D559" s="32"/>
      <c r="O559" s="59"/>
    </row>
    <row r="560" spans="4:15" ht="13">
      <c r="D560" s="32"/>
      <c r="O560" s="59"/>
    </row>
    <row r="561" spans="4:15" ht="13">
      <c r="D561" s="32"/>
      <c r="O561" s="59"/>
    </row>
    <row r="562" spans="4:15" ht="13">
      <c r="D562" s="32"/>
      <c r="O562" s="59"/>
    </row>
    <row r="563" spans="4:15" ht="13">
      <c r="D563" s="32"/>
      <c r="O563" s="59"/>
    </row>
    <row r="564" spans="4:15" ht="13">
      <c r="D564" s="32"/>
      <c r="O564" s="59"/>
    </row>
    <row r="565" spans="4:15" ht="13">
      <c r="D565" s="32"/>
      <c r="O565" s="59"/>
    </row>
    <row r="566" spans="4:15" ht="13">
      <c r="D566" s="32"/>
      <c r="O566" s="59"/>
    </row>
    <row r="567" spans="4:15" ht="13">
      <c r="D567" s="32"/>
      <c r="O567" s="59"/>
    </row>
    <row r="568" spans="4:15" ht="13">
      <c r="D568" s="32"/>
      <c r="O568" s="59"/>
    </row>
    <row r="569" spans="4:15" ht="13">
      <c r="D569" s="32"/>
      <c r="O569" s="59"/>
    </row>
    <row r="570" spans="4:15" ht="13">
      <c r="D570" s="32"/>
      <c r="O570" s="59"/>
    </row>
    <row r="571" spans="4:15" ht="13">
      <c r="D571" s="32"/>
      <c r="O571" s="59"/>
    </row>
    <row r="572" spans="4:15" ht="13">
      <c r="D572" s="32"/>
      <c r="O572" s="59"/>
    </row>
    <row r="573" spans="4:15" ht="13">
      <c r="D573" s="32"/>
      <c r="O573" s="59"/>
    </row>
    <row r="574" spans="4:15" ht="13">
      <c r="D574" s="32"/>
      <c r="O574" s="59"/>
    </row>
    <row r="575" spans="4:15" ht="13">
      <c r="D575" s="32"/>
      <c r="O575" s="59"/>
    </row>
    <row r="576" spans="4:15" ht="13">
      <c r="D576" s="32"/>
      <c r="O576" s="59"/>
    </row>
    <row r="577" spans="4:15" ht="13">
      <c r="D577" s="32"/>
      <c r="O577" s="59"/>
    </row>
    <row r="578" spans="4:15" ht="13">
      <c r="D578" s="32"/>
      <c r="O578" s="59"/>
    </row>
    <row r="579" spans="4:15" ht="13">
      <c r="D579" s="32"/>
      <c r="O579" s="59"/>
    </row>
    <row r="580" spans="4:15" ht="13">
      <c r="D580" s="32"/>
      <c r="O580" s="59"/>
    </row>
    <row r="581" spans="4:15" ht="13">
      <c r="D581" s="32"/>
      <c r="O581" s="59"/>
    </row>
    <row r="582" spans="4:15" ht="13">
      <c r="D582" s="32"/>
      <c r="O582" s="59"/>
    </row>
    <row r="583" spans="4:15" ht="13">
      <c r="D583" s="32"/>
      <c r="O583" s="59"/>
    </row>
    <row r="584" spans="4:15" ht="13">
      <c r="D584" s="32"/>
      <c r="O584" s="59"/>
    </row>
    <row r="585" spans="4:15" ht="13">
      <c r="D585" s="32"/>
      <c r="O585" s="59"/>
    </row>
    <row r="586" spans="4:15" ht="13">
      <c r="D586" s="32"/>
      <c r="O586" s="59"/>
    </row>
    <row r="587" spans="4:15" ht="13">
      <c r="D587" s="32"/>
      <c r="O587" s="59"/>
    </row>
    <row r="588" spans="4:15" ht="13">
      <c r="D588" s="32"/>
      <c r="O588" s="59"/>
    </row>
    <row r="589" spans="4:15" ht="13">
      <c r="D589" s="32"/>
      <c r="O589" s="59"/>
    </row>
    <row r="590" spans="4:15" ht="13">
      <c r="D590" s="32"/>
      <c r="O590" s="59"/>
    </row>
    <row r="591" spans="4:15" ht="13">
      <c r="D591" s="32"/>
      <c r="O591" s="59"/>
    </row>
    <row r="592" spans="4:15" ht="13">
      <c r="D592" s="32"/>
      <c r="O592" s="59"/>
    </row>
    <row r="593" spans="4:15" ht="13">
      <c r="D593" s="32"/>
      <c r="O593" s="59"/>
    </row>
    <row r="594" spans="4:15" ht="13">
      <c r="D594" s="32"/>
      <c r="O594" s="59"/>
    </row>
    <row r="595" spans="4:15" ht="13">
      <c r="D595" s="32"/>
      <c r="O595" s="59"/>
    </row>
    <row r="596" spans="4:15" ht="13">
      <c r="D596" s="32"/>
      <c r="O596" s="59"/>
    </row>
    <row r="597" spans="4:15" ht="13">
      <c r="D597" s="32"/>
      <c r="O597" s="59"/>
    </row>
    <row r="598" spans="4:15" ht="13">
      <c r="D598" s="32"/>
      <c r="O598" s="59"/>
    </row>
    <row r="599" spans="4:15" ht="13">
      <c r="D599" s="32"/>
      <c r="O599" s="59"/>
    </row>
    <row r="600" spans="4:15" ht="13">
      <c r="D600" s="32"/>
      <c r="O600" s="59"/>
    </row>
    <row r="601" spans="4:15" ht="13">
      <c r="D601" s="32"/>
      <c r="O601" s="59"/>
    </row>
    <row r="602" spans="4:15" ht="13">
      <c r="D602" s="32"/>
      <c r="O602" s="59"/>
    </row>
    <row r="603" spans="4:15" ht="13">
      <c r="D603" s="32"/>
      <c r="O603" s="59"/>
    </row>
    <row r="604" spans="4:15" ht="13">
      <c r="D604" s="32"/>
      <c r="O604" s="59"/>
    </row>
    <row r="605" spans="4:15" ht="13">
      <c r="D605" s="32"/>
      <c r="O605" s="59"/>
    </row>
    <row r="606" spans="4:15" ht="13">
      <c r="D606" s="32"/>
      <c r="O606" s="59"/>
    </row>
    <row r="607" spans="4:15" ht="13">
      <c r="D607" s="32"/>
      <c r="O607" s="59"/>
    </row>
    <row r="608" spans="4:15" ht="13">
      <c r="D608" s="32"/>
      <c r="O608" s="59"/>
    </row>
    <row r="609" spans="4:15" ht="13">
      <c r="D609" s="32"/>
      <c r="O609" s="59"/>
    </row>
    <row r="610" spans="4:15" ht="13">
      <c r="D610" s="32"/>
      <c r="O610" s="59"/>
    </row>
    <row r="611" spans="4:15" ht="13">
      <c r="D611" s="32"/>
      <c r="O611" s="59"/>
    </row>
    <row r="612" spans="4:15" ht="13">
      <c r="D612" s="32"/>
      <c r="O612" s="59"/>
    </row>
    <row r="613" spans="4:15" ht="13">
      <c r="D613" s="32"/>
      <c r="O613" s="59"/>
    </row>
    <row r="614" spans="4:15" ht="13">
      <c r="D614" s="32"/>
      <c r="O614" s="59"/>
    </row>
    <row r="615" spans="4:15" ht="13">
      <c r="D615" s="32"/>
      <c r="O615" s="59"/>
    </row>
    <row r="616" spans="4:15" ht="13">
      <c r="D616" s="32"/>
      <c r="O616" s="59"/>
    </row>
    <row r="617" spans="4:15" ht="13">
      <c r="D617" s="32"/>
      <c r="O617" s="59"/>
    </row>
    <row r="618" spans="4:15" ht="13">
      <c r="D618" s="32"/>
      <c r="O618" s="59"/>
    </row>
    <row r="619" spans="4:15" ht="13">
      <c r="D619" s="32"/>
      <c r="O619" s="59"/>
    </row>
    <row r="620" spans="4:15" ht="13">
      <c r="D620" s="32"/>
      <c r="O620" s="59"/>
    </row>
    <row r="621" spans="4:15" ht="13">
      <c r="D621" s="32"/>
      <c r="O621" s="59"/>
    </row>
    <row r="622" spans="4:15" ht="13">
      <c r="D622" s="32"/>
      <c r="O622" s="59"/>
    </row>
    <row r="623" spans="4:15" ht="13">
      <c r="D623" s="32"/>
      <c r="O623" s="59"/>
    </row>
    <row r="624" spans="4:15" ht="13">
      <c r="D624" s="32"/>
      <c r="O624" s="59"/>
    </row>
    <row r="625" spans="4:15" ht="13">
      <c r="D625" s="32"/>
      <c r="O625" s="59"/>
    </row>
    <row r="626" spans="4:15" ht="13">
      <c r="D626" s="32"/>
      <c r="O626" s="59"/>
    </row>
    <row r="627" spans="4:15" ht="13">
      <c r="D627" s="32"/>
      <c r="O627" s="59"/>
    </row>
    <row r="628" spans="4:15" ht="13">
      <c r="D628" s="32"/>
      <c r="O628" s="59"/>
    </row>
    <row r="629" spans="4:15" ht="13">
      <c r="D629" s="32"/>
      <c r="O629" s="59"/>
    </row>
    <row r="630" spans="4:15" ht="13">
      <c r="D630" s="32"/>
      <c r="O630" s="59"/>
    </row>
    <row r="631" spans="4:15" ht="13">
      <c r="D631" s="32"/>
      <c r="O631" s="59"/>
    </row>
    <row r="632" spans="4:15" ht="13">
      <c r="D632" s="32"/>
      <c r="O632" s="59"/>
    </row>
    <row r="633" spans="4:15" ht="13">
      <c r="D633" s="32"/>
      <c r="O633" s="59"/>
    </row>
    <row r="634" spans="4:15" ht="13">
      <c r="D634" s="32"/>
      <c r="O634" s="59"/>
    </row>
    <row r="635" spans="4:15" ht="13">
      <c r="D635" s="32"/>
      <c r="O635" s="59"/>
    </row>
    <row r="636" spans="4:15" ht="13">
      <c r="D636" s="32"/>
      <c r="O636" s="59"/>
    </row>
    <row r="637" spans="4:15" ht="13">
      <c r="D637" s="32"/>
      <c r="O637" s="59"/>
    </row>
    <row r="638" spans="4:15" ht="13">
      <c r="D638" s="32"/>
      <c r="O638" s="59"/>
    </row>
    <row r="639" spans="4:15" ht="13">
      <c r="D639" s="32"/>
      <c r="O639" s="59"/>
    </row>
    <row r="640" spans="4:15" ht="13">
      <c r="D640" s="32"/>
      <c r="O640" s="59"/>
    </row>
    <row r="641" spans="4:15" ht="13">
      <c r="D641" s="32"/>
      <c r="O641" s="59"/>
    </row>
    <row r="642" spans="4:15" ht="13">
      <c r="D642" s="32"/>
      <c r="O642" s="59"/>
    </row>
    <row r="643" spans="4:15" ht="13">
      <c r="D643" s="32"/>
      <c r="O643" s="59"/>
    </row>
    <row r="644" spans="4:15" ht="13">
      <c r="D644" s="32"/>
      <c r="O644" s="59"/>
    </row>
    <row r="645" spans="4:15" ht="13">
      <c r="D645" s="32"/>
      <c r="O645" s="59"/>
    </row>
    <row r="646" spans="4:15" ht="13">
      <c r="D646" s="32"/>
      <c r="O646" s="59"/>
    </row>
    <row r="647" spans="4:15" ht="13">
      <c r="D647" s="32"/>
      <c r="O647" s="59"/>
    </row>
    <row r="648" spans="4:15" ht="13">
      <c r="D648" s="32"/>
      <c r="O648" s="59"/>
    </row>
    <row r="649" spans="4:15" ht="13">
      <c r="D649" s="32"/>
      <c r="O649" s="59"/>
    </row>
    <row r="650" spans="4:15" ht="13">
      <c r="D650" s="32"/>
      <c r="O650" s="59"/>
    </row>
    <row r="651" spans="4:15" ht="13">
      <c r="D651" s="32"/>
      <c r="O651" s="59"/>
    </row>
    <row r="652" spans="4:15" ht="13">
      <c r="D652" s="32"/>
      <c r="O652" s="59"/>
    </row>
    <row r="653" spans="4:15" ht="13">
      <c r="D653" s="32"/>
      <c r="O653" s="59"/>
    </row>
    <row r="654" spans="4:15" ht="13">
      <c r="D654" s="32"/>
      <c r="O654" s="59"/>
    </row>
    <row r="655" spans="4:15" ht="13">
      <c r="D655" s="32"/>
      <c r="O655" s="59"/>
    </row>
    <row r="656" spans="4:15" ht="13">
      <c r="D656" s="32"/>
      <c r="O656" s="59"/>
    </row>
    <row r="657" spans="4:15" ht="13">
      <c r="D657" s="32"/>
      <c r="O657" s="59"/>
    </row>
    <row r="658" spans="4:15" ht="13">
      <c r="D658" s="32"/>
      <c r="O658" s="59"/>
    </row>
    <row r="659" spans="4:15" ht="13">
      <c r="D659" s="32"/>
      <c r="O659" s="59"/>
    </row>
    <row r="660" spans="4:15" ht="13">
      <c r="D660" s="32"/>
      <c r="O660" s="59"/>
    </row>
    <row r="661" spans="4:15" ht="13">
      <c r="D661" s="32"/>
      <c r="O661" s="59"/>
    </row>
    <row r="662" spans="4:15" ht="13">
      <c r="D662" s="32"/>
      <c r="O662" s="59"/>
    </row>
    <row r="663" spans="4:15" ht="13">
      <c r="D663" s="32"/>
      <c r="O663" s="59"/>
    </row>
    <row r="664" spans="4:15" ht="13">
      <c r="D664" s="32"/>
      <c r="O664" s="59"/>
    </row>
    <row r="665" spans="4:15" ht="13">
      <c r="D665" s="32"/>
      <c r="O665" s="59"/>
    </row>
    <row r="666" spans="4:15" ht="13">
      <c r="D666" s="32"/>
      <c r="O666" s="59"/>
    </row>
    <row r="667" spans="4:15" ht="13">
      <c r="D667" s="32"/>
      <c r="O667" s="59"/>
    </row>
    <row r="668" spans="4:15" ht="13">
      <c r="D668" s="32"/>
      <c r="O668" s="59"/>
    </row>
    <row r="669" spans="4:15" ht="13">
      <c r="D669" s="32"/>
      <c r="O669" s="59"/>
    </row>
    <row r="670" spans="4:15" ht="13">
      <c r="D670" s="32"/>
      <c r="O670" s="59"/>
    </row>
    <row r="671" spans="4:15" ht="13">
      <c r="D671" s="32"/>
      <c r="O671" s="59"/>
    </row>
    <row r="672" spans="4:15" ht="13">
      <c r="D672" s="32"/>
      <c r="O672" s="59"/>
    </row>
    <row r="673" spans="4:15" ht="13">
      <c r="D673" s="32"/>
      <c r="O673" s="59"/>
    </row>
    <row r="674" spans="4:15" ht="13">
      <c r="D674" s="32"/>
      <c r="O674" s="59"/>
    </row>
    <row r="675" spans="4:15" ht="13">
      <c r="D675" s="32"/>
      <c r="O675" s="59"/>
    </row>
    <row r="676" spans="4:15" ht="13">
      <c r="D676" s="32"/>
      <c r="O676" s="59"/>
    </row>
    <row r="677" spans="4:15" ht="13">
      <c r="D677" s="32"/>
      <c r="O677" s="59"/>
    </row>
    <row r="678" spans="4:15" ht="13">
      <c r="D678" s="32"/>
      <c r="O678" s="59"/>
    </row>
    <row r="679" spans="4:15" ht="13">
      <c r="D679" s="32"/>
      <c r="O679" s="59"/>
    </row>
    <row r="680" spans="4:15" ht="13">
      <c r="D680" s="32"/>
      <c r="O680" s="59"/>
    </row>
    <row r="681" spans="4:15" ht="13">
      <c r="D681" s="32"/>
      <c r="O681" s="59"/>
    </row>
    <row r="682" spans="4:15" ht="13">
      <c r="D682" s="32"/>
      <c r="O682" s="59"/>
    </row>
    <row r="683" spans="4:15" ht="13">
      <c r="D683" s="32"/>
      <c r="O683" s="59"/>
    </row>
    <row r="684" spans="4:15" ht="13">
      <c r="D684" s="32"/>
      <c r="O684" s="59"/>
    </row>
    <row r="685" spans="4:15" ht="13">
      <c r="D685" s="32"/>
      <c r="O685" s="59"/>
    </row>
    <row r="686" spans="4:15" ht="13">
      <c r="D686" s="32"/>
      <c r="O686" s="59"/>
    </row>
    <row r="687" spans="4:15" ht="13">
      <c r="D687" s="32"/>
      <c r="O687" s="59"/>
    </row>
    <row r="688" spans="4:15" ht="13">
      <c r="D688" s="32"/>
      <c r="O688" s="59"/>
    </row>
    <row r="689" spans="4:15" ht="13">
      <c r="D689" s="32"/>
      <c r="O689" s="59"/>
    </row>
    <row r="690" spans="4:15" ht="13">
      <c r="D690" s="32"/>
      <c r="O690" s="59"/>
    </row>
    <row r="691" spans="4:15" ht="13">
      <c r="D691" s="32"/>
      <c r="O691" s="59"/>
    </row>
    <row r="692" spans="4:15" ht="13">
      <c r="D692" s="32"/>
      <c r="O692" s="59"/>
    </row>
    <row r="693" spans="4:15" ht="13">
      <c r="D693" s="32"/>
      <c r="O693" s="59"/>
    </row>
    <row r="694" spans="4:15" ht="13">
      <c r="D694" s="32"/>
      <c r="O694" s="59"/>
    </row>
    <row r="695" spans="4:15" ht="13">
      <c r="D695" s="32"/>
      <c r="O695" s="59"/>
    </row>
    <row r="696" spans="4:15" ht="13">
      <c r="D696" s="32"/>
      <c r="O696" s="59"/>
    </row>
    <row r="697" spans="4:15" ht="13">
      <c r="D697" s="32"/>
      <c r="O697" s="59"/>
    </row>
    <row r="698" spans="4:15" ht="13">
      <c r="D698" s="32"/>
      <c r="O698" s="59"/>
    </row>
    <row r="699" spans="4:15" ht="13">
      <c r="D699" s="32"/>
      <c r="O699" s="59"/>
    </row>
    <row r="700" spans="4:15" ht="13">
      <c r="D700" s="32"/>
      <c r="O700" s="59"/>
    </row>
    <row r="701" spans="4:15" ht="13">
      <c r="D701" s="32"/>
      <c r="O701" s="59"/>
    </row>
    <row r="702" spans="4:15" ht="13">
      <c r="D702" s="32"/>
      <c r="O702" s="59"/>
    </row>
    <row r="703" spans="4:15" ht="13">
      <c r="D703" s="32"/>
      <c r="O703" s="59"/>
    </row>
    <row r="704" spans="4:15" ht="13">
      <c r="D704" s="32"/>
      <c r="O704" s="59"/>
    </row>
    <row r="705" spans="4:15" ht="13">
      <c r="D705" s="32"/>
      <c r="O705" s="59"/>
    </row>
    <row r="706" spans="4:15" ht="13">
      <c r="D706" s="32"/>
      <c r="O706" s="59"/>
    </row>
    <row r="707" spans="4:15" ht="13">
      <c r="D707" s="32"/>
      <c r="O707" s="59"/>
    </row>
    <row r="708" spans="4:15" ht="13">
      <c r="D708" s="32"/>
      <c r="O708" s="59"/>
    </row>
    <row r="709" spans="4:15" ht="13">
      <c r="D709" s="32"/>
      <c r="O709" s="59"/>
    </row>
    <row r="710" spans="4:15" ht="13">
      <c r="D710" s="32"/>
      <c r="O710" s="59"/>
    </row>
    <row r="711" spans="4:15" ht="13">
      <c r="D711" s="32"/>
      <c r="O711" s="59"/>
    </row>
    <row r="712" spans="4:15" ht="13">
      <c r="D712" s="32"/>
      <c r="O712" s="59"/>
    </row>
    <row r="713" spans="4:15" ht="13">
      <c r="D713" s="32"/>
      <c r="O713" s="59"/>
    </row>
    <row r="714" spans="4:15" ht="13">
      <c r="D714" s="32"/>
      <c r="O714" s="59"/>
    </row>
    <row r="715" spans="4:15" ht="13">
      <c r="D715" s="32"/>
      <c r="O715" s="59"/>
    </row>
    <row r="716" spans="4:15" ht="13">
      <c r="D716" s="32"/>
      <c r="O716" s="59"/>
    </row>
    <row r="717" spans="4:15" ht="13">
      <c r="D717" s="32"/>
      <c r="O717" s="59"/>
    </row>
    <row r="718" spans="4:15" ht="13">
      <c r="D718" s="32"/>
      <c r="O718" s="59"/>
    </row>
    <row r="719" spans="4:15" ht="13">
      <c r="D719" s="32"/>
      <c r="O719" s="59"/>
    </row>
    <row r="720" spans="4:15" ht="13">
      <c r="D720" s="32"/>
      <c r="O720" s="59"/>
    </row>
    <row r="721" spans="4:15" ht="13">
      <c r="D721" s="32"/>
      <c r="O721" s="59"/>
    </row>
    <row r="722" spans="4:15" ht="13">
      <c r="D722" s="32"/>
      <c r="O722" s="59"/>
    </row>
    <row r="723" spans="4:15" ht="13">
      <c r="D723" s="32"/>
      <c r="O723" s="59"/>
    </row>
    <row r="724" spans="4:15" ht="13">
      <c r="D724" s="32"/>
      <c r="O724" s="59"/>
    </row>
    <row r="725" spans="4:15" ht="13">
      <c r="D725" s="32"/>
      <c r="O725" s="59"/>
    </row>
    <row r="726" spans="4:15" ht="13">
      <c r="D726" s="32"/>
      <c r="O726" s="59"/>
    </row>
    <row r="727" spans="4:15" ht="13">
      <c r="D727" s="32"/>
      <c r="O727" s="59"/>
    </row>
    <row r="728" spans="4:15" ht="13">
      <c r="D728" s="32"/>
      <c r="O728" s="59"/>
    </row>
    <row r="729" spans="4:15" ht="13">
      <c r="D729" s="32"/>
      <c r="O729" s="59"/>
    </row>
    <row r="730" spans="4:15" ht="13">
      <c r="D730" s="32"/>
      <c r="O730" s="59"/>
    </row>
    <row r="731" spans="4:15" ht="13">
      <c r="D731" s="32"/>
      <c r="O731" s="59"/>
    </row>
    <row r="732" spans="4:15" ht="13">
      <c r="D732" s="32"/>
      <c r="O732" s="59"/>
    </row>
    <row r="733" spans="4:15" ht="13">
      <c r="D733" s="32"/>
      <c r="O733" s="59"/>
    </row>
    <row r="734" spans="4:15" ht="13">
      <c r="D734" s="32"/>
      <c r="O734" s="59"/>
    </row>
    <row r="735" spans="4:15" ht="13">
      <c r="D735" s="32"/>
      <c r="O735" s="59"/>
    </row>
    <row r="736" spans="4:15" ht="13">
      <c r="D736" s="32"/>
      <c r="O736" s="59"/>
    </row>
    <row r="737" spans="4:15" ht="13">
      <c r="D737" s="32"/>
      <c r="O737" s="59"/>
    </row>
    <row r="738" spans="4:15" ht="13">
      <c r="D738" s="32"/>
      <c r="O738" s="59"/>
    </row>
    <row r="739" spans="4:15" ht="13">
      <c r="D739" s="32"/>
      <c r="O739" s="59"/>
    </row>
    <row r="740" spans="4:15" ht="13">
      <c r="D740" s="32"/>
      <c r="O740" s="59"/>
    </row>
    <row r="741" spans="4:15" ht="13">
      <c r="D741" s="32"/>
      <c r="O741" s="59"/>
    </row>
    <row r="742" spans="4:15" ht="13">
      <c r="D742" s="32"/>
      <c r="O742" s="59"/>
    </row>
    <row r="743" spans="4:15" ht="13">
      <c r="D743" s="32"/>
      <c r="O743" s="59"/>
    </row>
    <row r="744" spans="4:15" ht="13">
      <c r="D744" s="32"/>
      <c r="O744" s="59"/>
    </row>
    <row r="745" spans="4:15" ht="13">
      <c r="D745" s="32"/>
      <c r="O745" s="59"/>
    </row>
    <row r="746" spans="4:15" ht="13">
      <c r="D746" s="32"/>
      <c r="O746" s="59"/>
    </row>
    <row r="747" spans="4:15" ht="13">
      <c r="D747" s="32"/>
      <c r="O747" s="59"/>
    </row>
    <row r="748" spans="4:15" ht="13">
      <c r="D748" s="32"/>
      <c r="O748" s="59"/>
    </row>
    <row r="749" spans="4:15" ht="13">
      <c r="D749" s="32"/>
      <c r="O749" s="59"/>
    </row>
    <row r="750" spans="4:15" ht="13">
      <c r="D750" s="32"/>
      <c r="O750" s="59"/>
    </row>
    <row r="751" spans="4:15" ht="13">
      <c r="D751" s="32"/>
      <c r="O751" s="59"/>
    </row>
    <row r="752" spans="4:15" ht="13">
      <c r="D752" s="32"/>
      <c r="O752" s="59"/>
    </row>
    <row r="753" spans="4:15" ht="13">
      <c r="D753" s="32"/>
      <c r="O753" s="59"/>
    </row>
    <row r="754" spans="4:15" ht="13">
      <c r="D754" s="32"/>
      <c r="O754" s="59"/>
    </row>
    <row r="755" spans="4:15" ht="13">
      <c r="D755" s="32"/>
      <c r="O755" s="59"/>
    </row>
    <row r="756" spans="4:15" ht="13">
      <c r="D756" s="32"/>
      <c r="O756" s="59"/>
    </row>
    <row r="757" spans="4:15" ht="13">
      <c r="D757" s="32"/>
      <c r="O757" s="59"/>
    </row>
    <row r="758" spans="4:15" ht="13">
      <c r="D758" s="32"/>
      <c r="O758" s="59"/>
    </row>
    <row r="759" spans="4:15" ht="13">
      <c r="D759" s="32"/>
      <c r="O759" s="59"/>
    </row>
    <row r="760" spans="4:15" ht="13">
      <c r="D760" s="32"/>
      <c r="O760" s="59"/>
    </row>
    <row r="761" spans="4:15" ht="13">
      <c r="D761" s="32"/>
      <c r="O761" s="59"/>
    </row>
    <row r="762" spans="4:15" ht="13">
      <c r="D762" s="32"/>
      <c r="O762" s="59"/>
    </row>
    <row r="763" spans="4:15" ht="13">
      <c r="D763" s="32"/>
      <c r="O763" s="59"/>
    </row>
    <row r="764" spans="4:15" ht="13">
      <c r="D764" s="32"/>
      <c r="O764" s="59"/>
    </row>
    <row r="765" spans="4:15" ht="13">
      <c r="D765" s="32"/>
      <c r="O765" s="59"/>
    </row>
    <row r="766" spans="4:15" ht="13">
      <c r="D766" s="32"/>
      <c r="O766" s="59"/>
    </row>
    <row r="767" spans="4:15" ht="13">
      <c r="D767" s="32"/>
      <c r="O767" s="59"/>
    </row>
    <row r="768" spans="4:15" ht="13">
      <c r="D768" s="32"/>
      <c r="O768" s="59"/>
    </row>
    <row r="769" spans="4:15" ht="13">
      <c r="D769" s="32"/>
      <c r="O769" s="59"/>
    </row>
    <row r="770" spans="4:15" ht="13">
      <c r="D770" s="32"/>
      <c r="O770" s="59"/>
    </row>
    <row r="771" spans="4:15" ht="13">
      <c r="D771" s="32"/>
      <c r="O771" s="59"/>
    </row>
    <row r="772" spans="4:15" ht="13">
      <c r="D772" s="32"/>
      <c r="O772" s="59"/>
    </row>
    <row r="773" spans="4:15" ht="13">
      <c r="D773" s="32"/>
      <c r="O773" s="59"/>
    </row>
    <row r="774" spans="4:15" ht="13">
      <c r="D774" s="32"/>
      <c r="O774" s="59"/>
    </row>
    <row r="775" spans="4:15" ht="13">
      <c r="D775" s="32"/>
      <c r="O775" s="59"/>
    </row>
    <row r="776" spans="4:15" ht="13">
      <c r="D776" s="32"/>
      <c r="O776" s="59"/>
    </row>
    <row r="777" spans="4:15" ht="13">
      <c r="D777" s="32"/>
      <c r="O777" s="59"/>
    </row>
    <row r="778" spans="4:15" ht="13">
      <c r="D778" s="32"/>
      <c r="O778" s="59"/>
    </row>
    <row r="779" spans="4:15" ht="13">
      <c r="D779" s="32"/>
      <c r="O779" s="59"/>
    </row>
    <row r="780" spans="4:15" ht="13">
      <c r="D780" s="32"/>
      <c r="O780" s="59"/>
    </row>
    <row r="781" spans="4:15" ht="13">
      <c r="D781" s="32"/>
      <c r="O781" s="59"/>
    </row>
    <row r="782" spans="4:15" ht="13">
      <c r="D782" s="32"/>
      <c r="O782" s="59"/>
    </row>
    <row r="783" spans="4:15" ht="13">
      <c r="D783" s="32"/>
      <c r="O783" s="59"/>
    </row>
    <row r="784" spans="4:15" ht="13">
      <c r="D784" s="32"/>
      <c r="O784" s="59"/>
    </row>
    <row r="785" spans="4:15" ht="13">
      <c r="D785" s="32"/>
      <c r="O785" s="59"/>
    </row>
    <row r="786" spans="4:15" ht="13">
      <c r="D786" s="32"/>
      <c r="O786" s="59"/>
    </row>
    <row r="787" spans="4:15" ht="13">
      <c r="D787" s="32"/>
      <c r="O787" s="59"/>
    </row>
    <row r="788" spans="4:15" ht="13">
      <c r="D788" s="32"/>
      <c r="O788" s="59"/>
    </row>
    <row r="789" spans="4:15" ht="13">
      <c r="D789" s="32"/>
      <c r="O789" s="59"/>
    </row>
    <row r="790" spans="4:15" ht="13">
      <c r="D790" s="32"/>
      <c r="O790" s="59"/>
    </row>
    <row r="791" spans="4:15" ht="13">
      <c r="D791" s="32"/>
      <c r="O791" s="59"/>
    </row>
    <row r="792" spans="4:15" ht="13">
      <c r="D792" s="32"/>
      <c r="O792" s="59"/>
    </row>
    <row r="793" spans="4:15" ht="13">
      <c r="D793" s="32"/>
      <c r="O793" s="59"/>
    </row>
    <row r="794" spans="4:15" ht="13">
      <c r="D794" s="32"/>
      <c r="O794" s="59"/>
    </row>
    <row r="795" spans="4:15" ht="13">
      <c r="D795" s="32"/>
      <c r="O795" s="59"/>
    </row>
    <row r="796" spans="4:15" ht="13">
      <c r="D796" s="32"/>
      <c r="O796" s="59"/>
    </row>
    <row r="797" spans="4:15" ht="13">
      <c r="D797" s="32"/>
      <c r="O797" s="59"/>
    </row>
    <row r="798" spans="4:15" ht="13">
      <c r="D798" s="32"/>
      <c r="O798" s="59"/>
    </row>
    <row r="799" spans="4:15" ht="13">
      <c r="D799" s="32"/>
      <c r="O799" s="59"/>
    </row>
    <row r="800" spans="4:15" ht="13">
      <c r="D800" s="32"/>
      <c r="O800" s="59"/>
    </row>
    <row r="801" spans="4:15" ht="13">
      <c r="D801" s="32"/>
      <c r="O801" s="59"/>
    </row>
    <row r="802" spans="4:15" ht="13">
      <c r="D802" s="32"/>
      <c r="O802" s="59"/>
    </row>
    <row r="803" spans="4:15" ht="13">
      <c r="D803" s="32"/>
      <c r="O803" s="59"/>
    </row>
    <row r="804" spans="4:15" ht="13">
      <c r="D804" s="32"/>
      <c r="O804" s="59"/>
    </row>
    <row r="805" spans="4:15" ht="13">
      <c r="D805" s="32"/>
      <c r="O805" s="59"/>
    </row>
    <row r="806" spans="4:15" ht="13">
      <c r="D806" s="32"/>
      <c r="O806" s="59"/>
    </row>
    <row r="807" spans="4:15" ht="13">
      <c r="D807" s="32"/>
      <c r="O807" s="59"/>
    </row>
    <row r="808" spans="4:15" ht="13">
      <c r="D808" s="32"/>
      <c r="O808" s="59"/>
    </row>
    <row r="809" spans="4:15" ht="13">
      <c r="D809" s="32"/>
      <c r="O809" s="59"/>
    </row>
    <row r="810" spans="4:15" ht="13">
      <c r="D810" s="32"/>
      <c r="O810" s="59"/>
    </row>
    <row r="811" spans="4:15" ht="13">
      <c r="D811" s="32"/>
      <c r="O811" s="59"/>
    </row>
    <row r="812" spans="4:15" ht="13">
      <c r="D812" s="32"/>
      <c r="O812" s="59"/>
    </row>
    <row r="813" spans="4:15" ht="13">
      <c r="D813" s="32"/>
      <c r="O813" s="59"/>
    </row>
    <row r="814" spans="4:15" ht="13">
      <c r="D814" s="32"/>
      <c r="O814" s="59"/>
    </row>
    <row r="815" spans="4:15" ht="13">
      <c r="D815" s="32"/>
      <c r="O815" s="59"/>
    </row>
    <row r="816" spans="4:15" ht="13">
      <c r="D816" s="32"/>
      <c r="O816" s="59"/>
    </row>
    <row r="817" spans="4:15" ht="13">
      <c r="D817" s="32"/>
      <c r="O817" s="59"/>
    </row>
    <row r="818" spans="4:15" ht="13">
      <c r="D818" s="32"/>
      <c r="O818" s="59"/>
    </row>
    <row r="819" spans="4:15" ht="13">
      <c r="D819" s="32"/>
      <c r="O819" s="59"/>
    </row>
    <row r="820" spans="4:15" ht="13">
      <c r="D820" s="32"/>
      <c r="O820" s="59"/>
    </row>
    <row r="821" spans="4:15" ht="13">
      <c r="D821" s="32"/>
      <c r="O821" s="59"/>
    </row>
    <row r="822" spans="4:15" ht="13">
      <c r="D822" s="32"/>
      <c r="O822" s="59"/>
    </row>
    <row r="823" spans="4:15" ht="13">
      <c r="D823" s="32"/>
      <c r="O823" s="59"/>
    </row>
    <row r="824" spans="4:15" ht="13">
      <c r="D824" s="32"/>
      <c r="O824" s="59"/>
    </row>
    <row r="825" spans="4:15" ht="13">
      <c r="D825" s="32"/>
      <c r="O825" s="59"/>
    </row>
    <row r="826" spans="4:15" ht="13">
      <c r="D826" s="32"/>
      <c r="O826" s="59"/>
    </row>
    <row r="827" spans="4:15" ht="13">
      <c r="D827" s="32"/>
      <c r="O827" s="59"/>
    </row>
    <row r="828" spans="4:15" ht="13">
      <c r="D828" s="32"/>
      <c r="O828" s="59"/>
    </row>
    <row r="829" spans="4:15" ht="13">
      <c r="D829" s="32"/>
      <c r="O829" s="59"/>
    </row>
    <row r="830" spans="4:15" ht="13">
      <c r="D830" s="32"/>
      <c r="O830" s="59"/>
    </row>
    <row r="831" spans="4:15" ht="13">
      <c r="D831" s="32"/>
      <c r="O831" s="59"/>
    </row>
    <row r="832" spans="4:15" ht="13">
      <c r="D832" s="32"/>
      <c r="O832" s="59"/>
    </row>
    <row r="833" spans="4:15" ht="13">
      <c r="D833" s="32"/>
      <c r="O833" s="59"/>
    </row>
    <row r="834" spans="4:15" ht="13">
      <c r="D834" s="32"/>
      <c r="O834" s="59"/>
    </row>
    <row r="835" spans="4:15" ht="13">
      <c r="D835" s="32"/>
      <c r="O835" s="59"/>
    </row>
    <row r="836" spans="4:15" ht="13">
      <c r="D836" s="32"/>
      <c r="O836" s="59"/>
    </row>
    <row r="837" spans="4:15" ht="13">
      <c r="D837" s="32"/>
      <c r="O837" s="59"/>
    </row>
    <row r="838" spans="4:15" ht="13">
      <c r="D838" s="32"/>
      <c r="O838" s="59"/>
    </row>
    <row r="839" spans="4:15" ht="13">
      <c r="D839" s="32"/>
      <c r="O839" s="59"/>
    </row>
    <row r="840" spans="4:15" ht="13">
      <c r="D840" s="32"/>
      <c r="O840" s="59"/>
    </row>
    <row r="841" spans="4:15" ht="13">
      <c r="D841" s="32"/>
      <c r="O841" s="59"/>
    </row>
    <row r="842" spans="4:15" ht="13">
      <c r="D842" s="32"/>
      <c r="O842" s="59"/>
    </row>
    <row r="843" spans="4:15" ht="13">
      <c r="D843" s="32"/>
      <c r="O843" s="59"/>
    </row>
    <row r="844" spans="4:15" ht="13">
      <c r="D844" s="32"/>
      <c r="O844" s="59"/>
    </row>
    <row r="845" spans="4:15" ht="13">
      <c r="D845" s="32"/>
      <c r="O845" s="59"/>
    </row>
    <row r="846" spans="4:15" ht="13">
      <c r="D846" s="32"/>
      <c r="O846" s="59"/>
    </row>
    <row r="847" spans="4:15" ht="13">
      <c r="D847" s="32"/>
      <c r="O847" s="59"/>
    </row>
    <row r="848" spans="4:15" ht="13">
      <c r="D848" s="32"/>
      <c r="O848" s="59"/>
    </row>
    <row r="849" spans="4:15" ht="13">
      <c r="D849" s="32"/>
      <c r="O849" s="59"/>
    </row>
    <row r="850" spans="4:15" ht="13">
      <c r="D850" s="32"/>
      <c r="O850" s="59"/>
    </row>
    <row r="851" spans="4:15" ht="13">
      <c r="D851" s="32"/>
      <c r="O851" s="59"/>
    </row>
    <row r="852" spans="4:15" ht="13">
      <c r="D852" s="32"/>
      <c r="O852" s="59"/>
    </row>
    <row r="853" spans="4:15" ht="13">
      <c r="D853" s="32"/>
      <c r="O853" s="59"/>
    </row>
    <row r="854" spans="4:15" ht="13">
      <c r="D854" s="32"/>
      <c r="O854" s="59"/>
    </row>
    <row r="855" spans="4:15" ht="13">
      <c r="D855" s="32"/>
      <c r="O855" s="59"/>
    </row>
    <row r="856" spans="4:15" ht="13">
      <c r="D856" s="32"/>
      <c r="O856" s="59"/>
    </row>
    <row r="857" spans="4:15" ht="13">
      <c r="D857" s="32"/>
      <c r="O857" s="59"/>
    </row>
    <row r="858" spans="4:15" ht="13">
      <c r="D858" s="32"/>
      <c r="O858" s="59"/>
    </row>
    <row r="859" spans="4:15" ht="13">
      <c r="D859" s="32"/>
      <c r="O859" s="59"/>
    </row>
    <row r="860" spans="4:15" ht="13">
      <c r="D860" s="32"/>
      <c r="O860" s="59"/>
    </row>
    <row r="861" spans="4:15" ht="13">
      <c r="D861" s="32"/>
      <c r="O861" s="59"/>
    </row>
    <row r="862" spans="4:15" ht="13">
      <c r="D862" s="32"/>
      <c r="O862" s="59"/>
    </row>
    <row r="863" spans="4:15" ht="13">
      <c r="D863" s="32"/>
      <c r="O863" s="59"/>
    </row>
    <row r="864" spans="4:15" ht="13">
      <c r="D864" s="32"/>
      <c r="O864" s="59"/>
    </row>
    <row r="865" spans="4:15" ht="13">
      <c r="D865" s="32"/>
      <c r="O865" s="59"/>
    </row>
    <row r="866" spans="4:15" ht="13">
      <c r="D866" s="32"/>
      <c r="O866" s="59"/>
    </row>
    <row r="867" spans="4:15" ht="13">
      <c r="D867" s="32"/>
      <c r="O867" s="59"/>
    </row>
    <row r="868" spans="4:15" ht="13">
      <c r="D868" s="32"/>
      <c r="O868" s="59"/>
    </row>
    <row r="869" spans="4:15" ht="13">
      <c r="D869" s="32"/>
      <c r="O869" s="59"/>
    </row>
    <row r="870" spans="4:15" ht="13">
      <c r="D870" s="32"/>
      <c r="O870" s="59"/>
    </row>
    <row r="871" spans="4:15" ht="13">
      <c r="D871" s="32"/>
      <c r="O871" s="59"/>
    </row>
    <row r="872" spans="4:15" ht="13">
      <c r="D872" s="32"/>
      <c r="O872" s="59"/>
    </row>
    <row r="873" spans="4:15" ht="13">
      <c r="D873" s="32"/>
      <c r="O873" s="59"/>
    </row>
    <row r="874" spans="4:15" ht="13">
      <c r="D874" s="32"/>
      <c r="O874" s="59"/>
    </row>
    <row r="875" spans="4:15" ht="13">
      <c r="D875" s="32"/>
      <c r="O875" s="59"/>
    </row>
    <row r="876" spans="4:15" ht="13">
      <c r="D876" s="32"/>
      <c r="O876" s="59"/>
    </row>
    <row r="877" spans="4:15" ht="13">
      <c r="D877" s="32"/>
      <c r="O877" s="59"/>
    </row>
    <row r="878" spans="4:15" ht="13">
      <c r="D878" s="32"/>
      <c r="O878" s="59"/>
    </row>
    <row r="879" spans="4:15" ht="13">
      <c r="D879" s="32"/>
      <c r="O879" s="59"/>
    </row>
    <row r="880" spans="4:15" ht="13">
      <c r="D880" s="32"/>
      <c r="O880" s="59"/>
    </row>
    <row r="881" spans="4:15" ht="13">
      <c r="D881" s="32"/>
      <c r="O881" s="59"/>
    </row>
    <row r="882" spans="4:15" ht="13">
      <c r="D882" s="32"/>
      <c r="O882" s="59"/>
    </row>
    <row r="883" spans="4:15" ht="13">
      <c r="D883" s="32"/>
      <c r="O883" s="59"/>
    </row>
    <row r="884" spans="4:15" ht="13">
      <c r="D884" s="32"/>
      <c r="O884" s="59"/>
    </row>
    <row r="885" spans="4:15" ht="13">
      <c r="D885" s="32"/>
      <c r="O885" s="59"/>
    </row>
    <row r="886" spans="4:15" ht="13">
      <c r="D886" s="32"/>
      <c r="O886" s="59"/>
    </row>
    <row r="887" spans="4:15" ht="13">
      <c r="D887" s="32"/>
      <c r="O887" s="59"/>
    </row>
    <row r="888" spans="4:15" ht="13">
      <c r="D888" s="32"/>
      <c r="O888" s="59"/>
    </row>
    <row r="889" spans="4:15" ht="13">
      <c r="D889" s="32"/>
      <c r="O889" s="59"/>
    </row>
    <row r="890" spans="4:15" ht="13">
      <c r="D890" s="32"/>
      <c r="O890" s="59"/>
    </row>
    <row r="891" spans="4:15" ht="13">
      <c r="D891" s="32"/>
      <c r="O891" s="59"/>
    </row>
    <row r="892" spans="4:15" ht="13">
      <c r="D892" s="32"/>
      <c r="O892" s="59"/>
    </row>
    <row r="893" spans="4:15" ht="13">
      <c r="D893" s="32"/>
      <c r="O893" s="59"/>
    </row>
    <row r="894" spans="4:15" ht="13">
      <c r="D894" s="32"/>
      <c r="O894" s="59"/>
    </row>
    <row r="895" spans="4:15" ht="13">
      <c r="D895" s="32"/>
      <c r="O895" s="59"/>
    </row>
    <row r="896" spans="4:15" ht="13">
      <c r="D896" s="32"/>
      <c r="O896" s="59"/>
    </row>
    <row r="897" spans="4:15" ht="13">
      <c r="D897" s="32"/>
      <c r="O897" s="59"/>
    </row>
    <row r="898" spans="4:15" ht="13">
      <c r="D898" s="32"/>
      <c r="O898" s="59"/>
    </row>
    <row r="899" spans="4:15" ht="13">
      <c r="D899" s="32"/>
      <c r="O899" s="59"/>
    </row>
    <row r="900" spans="4:15" ht="13">
      <c r="D900" s="32"/>
      <c r="O900" s="59"/>
    </row>
    <row r="901" spans="4:15" ht="13">
      <c r="D901" s="32"/>
      <c r="O901" s="59"/>
    </row>
    <row r="902" spans="4:15" ht="13">
      <c r="D902" s="32"/>
      <c r="O902" s="59"/>
    </row>
    <row r="903" spans="4:15" ht="13">
      <c r="D903" s="32"/>
      <c r="O903" s="59"/>
    </row>
    <row r="904" spans="4:15" ht="13">
      <c r="D904" s="32"/>
      <c r="O904" s="59"/>
    </row>
    <row r="905" spans="4:15" ht="13">
      <c r="D905" s="32"/>
      <c r="O905" s="59"/>
    </row>
    <row r="906" spans="4:15" ht="13">
      <c r="D906" s="32"/>
      <c r="O906" s="59"/>
    </row>
    <row r="907" spans="4:15" ht="13">
      <c r="D907" s="32"/>
      <c r="O907" s="59"/>
    </row>
    <row r="908" spans="4:15" ht="13">
      <c r="D908" s="32"/>
      <c r="O908" s="59"/>
    </row>
    <row r="909" spans="4:15" ht="13">
      <c r="D909" s="32"/>
      <c r="O909" s="59"/>
    </row>
    <row r="910" spans="4:15" ht="13">
      <c r="D910" s="32"/>
      <c r="O910" s="59"/>
    </row>
    <row r="911" spans="4:15" ht="13">
      <c r="D911" s="32"/>
      <c r="O911" s="59"/>
    </row>
    <row r="912" spans="4:15" ht="13">
      <c r="D912" s="32"/>
      <c r="O912" s="59"/>
    </row>
    <row r="913" spans="4:15" ht="13">
      <c r="D913" s="32"/>
      <c r="O913" s="59"/>
    </row>
    <row r="914" spans="4:15" ht="13">
      <c r="D914" s="32"/>
      <c r="O914" s="59"/>
    </row>
    <row r="915" spans="4:15" ht="13">
      <c r="D915" s="32"/>
      <c r="O915" s="59"/>
    </row>
    <row r="916" spans="4:15" ht="13">
      <c r="D916" s="32"/>
      <c r="O916" s="59"/>
    </row>
    <row r="917" spans="4:15" ht="13">
      <c r="D917" s="32"/>
      <c r="O917" s="59"/>
    </row>
    <row r="918" spans="4:15" ht="13">
      <c r="D918" s="32"/>
      <c r="O918" s="59"/>
    </row>
    <row r="919" spans="4:15" ht="13">
      <c r="D919" s="32"/>
      <c r="O919" s="59"/>
    </row>
    <row r="920" spans="4:15" ht="13">
      <c r="D920" s="32"/>
      <c r="O920" s="59"/>
    </row>
    <row r="921" spans="4:15" ht="13">
      <c r="D921" s="32"/>
      <c r="O921" s="59"/>
    </row>
    <row r="922" spans="4:15" ht="13">
      <c r="D922" s="32"/>
      <c r="O922" s="59"/>
    </row>
    <row r="923" spans="4:15" ht="13">
      <c r="D923" s="32"/>
      <c r="O923" s="59"/>
    </row>
    <row r="924" spans="4:15" ht="13">
      <c r="D924" s="32"/>
      <c r="O924" s="59"/>
    </row>
    <row r="925" spans="4:15" ht="13">
      <c r="D925" s="32"/>
      <c r="O925" s="59"/>
    </row>
    <row r="926" spans="4:15" ht="13">
      <c r="D926" s="32"/>
      <c r="O926" s="59"/>
    </row>
    <row r="927" spans="4:15" ht="13">
      <c r="D927" s="32"/>
      <c r="O927" s="59"/>
    </row>
    <row r="928" spans="4:15" ht="13">
      <c r="D928" s="32"/>
      <c r="O928" s="59"/>
    </row>
    <row r="929" spans="4:15" ht="13">
      <c r="D929" s="32"/>
      <c r="O929" s="59"/>
    </row>
    <row r="930" spans="4:15" ht="13">
      <c r="D930" s="32"/>
      <c r="O930" s="59"/>
    </row>
    <row r="931" spans="4:15" ht="13">
      <c r="D931" s="32"/>
      <c r="O931" s="59"/>
    </row>
    <row r="932" spans="4:15" ht="13">
      <c r="D932" s="32"/>
      <c r="O932" s="59"/>
    </row>
    <row r="933" spans="4:15" ht="13">
      <c r="D933" s="32"/>
      <c r="O933" s="59"/>
    </row>
    <row r="934" spans="4:15" ht="13">
      <c r="D934" s="32"/>
      <c r="O934" s="59"/>
    </row>
    <row r="935" spans="4:15" ht="13">
      <c r="D935" s="32"/>
      <c r="O935" s="59"/>
    </row>
    <row r="936" spans="4:15" ht="13">
      <c r="D936" s="32"/>
      <c r="O936" s="59"/>
    </row>
    <row r="937" spans="4:15" ht="13">
      <c r="D937" s="32"/>
      <c r="O937" s="59"/>
    </row>
    <row r="938" spans="4:15" ht="13">
      <c r="D938" s="32"/>
      <c r="O938" s="59"/>
    </row>
    <row r="939" spans="4:15" ht="13">
      <c r="D939" s="32"/>
      <c r="O939" s="59"/>
    </row>
    <row r="940" spans="4:15" ht="13">
      <c r="D940" s="32"/>
      <c r="O940" s="59"/>
    </row>
    <row r="941" spans="4:15" ht="13">
      <c r="D941" s="32"/>
      <c r="O941" s="59"/>
    </row>
    <row r="942" spans="4:15" ht="13">
      <c r="D942" s="32"/>
      <c r="O942" s="59"/>
    </row>
    <row r="943" spans="4:15" ht="13">
      <c r="D943" s="32"/>
      <c r="O943" s="59"/>
    </row>
    <row r="944" spans="4:15" ht="13">
      <c r="D944" s="32"/>
      <c r="O944" s="59"/>
    </row>
    <row r="945" spans="4:15" ht="13">
      <c r="D945" s="32"/>
      <c r="O945" s="59"/>
    </row>
    <row r="946" spans="4:15" ht="13">
      <c r="D946" s="32"/>
      <c r="O946" s="59"/>
    </row>
    <row r="947" spans="4:15" ht="13">
      <c r="D947" s="32"/>
      <c r="O947" s="59"/>
    </row>
    <row r="948" spans="4:15" ht="13">
      <c r="D948" s="32"/>
      <c r="O948" s="59"/>
    </row>
    <row r="949" spans="4:15" ht="13">
      <c r="D949" s="32"/>
      <c r="O949" s="59"/>
    </row>
    <row r="950" spans="4:15" ht="13">
      <c r="D950" s="32"/>
      <c r="O950" s="59"/>
    </row>
    <row r="951" spans="4:15" ht="13">
      <c r="D951" s="32"/>
      <c r="O951" s="59"/>
    </row>
    <row r="952" spans="4:15" ht="13">
      <c r="D952" s="32"/>
      <c r="O952" s="59"/>
    </row>
    <row r="953" spans="4:15" ht="13">
      <c r="D953" s="32"/>
      <c r="O953" s="59"/>
    </row>
    <row r="954" spans="4:15" ht="13">
      <c r="D954" s="32"/>
      <c r="O954" s="59"/>
    </row>
    <row r="955" spans="4:15" ht="13">
      <c r="D955" s="32"/>
      <c r="O955" s="59"/>
    </row>
    <row r="956" spans="4:15" ht="13">
      <c r="D956" s="32"/>
      <c r="O956" s="59"/>
    </row>
    <row r="957" spans="4:15" ht="13">
      <c r="D957" s="32"/>
      <c r="O957" s="59"/>
    </row>
    <row r="958" spans="4:15" ht="13">
      <c r="D958" s="32"/>
      <c r="O958" s="59"/>
    </row>
    <row r="959" spans="4:15" ht="13">
      <c r="D959" s="32"/>
      <c r="O959" s="59"/>
    </row>
    <row r="960" spans="4:15" ht="13">
      <c r="D960" s="32"/>
      <c r="O960" s="59"/>
    </row>
    <row r="961" spans="4:15" ht="13">
      <c r="D961" s="32"/>
      <c r="O961" s="59"/>
    </row>
    <row r="962" spans="4:15" ht="13">
      <c r="D962" s="32"/>
      <c r="O962" s="59"/>
    </row>
    <row r="963" spans="4:15" ht="13">
      <c r="D963" s="32"/>
      <c r="O963" s="59"/>
    </row>
    <row r="964" spans="4:15" ht="13">
      <c r="D964" s="32"/>
      <c r="O964" s="59"/>
    </row>
    <row r="965" spans="4:15" ht="13">
      <c r="D965" s="32"/>
      <c r="O965" s="59"/>
    </row>
    <row r="966" spans="4:15" ht="13">
      <c r="D966" s="32"/>
      <c r="O966" s="59"/>
    </row>
    <row r="967" spans="4:15" ht="13">
      <c r="D967" s="32"/>
      <c r="O967" s="59"/>
    </row>
    <row r="968" spans="4:15" ht="13">
      <c r="D968" s="32"/>
      <c r="O968" s="59"/>
    </row>
    <row r="969" spans="4:15" ht="13">
      <c r="D969" s="32"/>
      <c r="O969" s="59"/>
    </row>
    <row r="970" spans="4:15" ht="13">
      <c r="D970" s="32"/>
      <c r="O970" s="59"/>
    </row>
    <row r="971" spans="4:15" ht="13">
      <c r="D971" s="32"/>
      <c r="O971" s="59"/>
    </row>
    <row r="972" spans="4:15" ht="13">
      <c r="D972" s="32"/>
      <c r="O972" s="59"/>
    </row>
    <row r="973" spans="4:15" ht="13">
      <c r="D973" s="32"/>
      <c r="O973" s="59"/>
    </row>
    <row r="974" spans="4:15" ht="13">
      <c r="D974" s="32"/>
      <c r="O974" s="59"/>
    </row>
    <row r="975" spans="4:15" ht="13">
      <c r="D975" s="32"/>
      <c r="O975" s="59"/>
    </row>
    <row r="976" spans="4:15" ht="13">
      <c r="D976" s="32"/>
      <c r="O976" s="59"/>
    </row>
    <row r="977" spans="4:15" ht="13">
      <c r="D977" s="32"/>
      <c r="O977" s="59"/>
    </row>
    <row r="978" spans="4:15" ht="13">
      <c r="D978" s="32"/>
      <c r="O978" s="59"/>
    </row>
    <row r="979" spans="4:15" ht="13">
      <c r="D979" s="32"/>
      <c r="O979" s="59"/>
    </row>
    <row r="980" spans="4:15" ht="13">
      <c r="D980" s="32"/>
      <c r="O980" s="59"/>
    </row>
    <row r="981" spans="4:15" ht="13">
      <c r="D981" s="32"/>
      <c r="O981" s="59"/>
    </row>
    <row r="982" spans="4:15" ht="13">
      <c r="D982" s="32"/>
      <c r="O982" s="59"/>
    </row>
    <row r="983" spans="4:15" ht="13">
      <c r="D983" s="32"/>
      <c r="O983" s="59"/>
    </row>
    <row r="984" spans="4:15" ht="13">
      <c r="D984" s="32"/>
      <c r="O984" s="59"/>
    </row>
    <row r="985" spans="4:15" ht="13">
      <c r="D985" s="32"/>
      <c r="O985" s="59"/>
    </row>
    <row r="986" spans="4:15" ht="13">
      <c r="D986" s="32"/>
      <c r="O986" s="59"/>
    </row>
    <row r="987" spans="4:15" ht="13">
      <c r="D987" s="32"/>
      <c r="O987" s="59"/>
    </row>
    <row r="988" spans="4:15" ht="13">
      <c r="D988" s="32"/>
      <c r="O988" s="59"/>
    </row>
    <row r="989" spans="4:15" ht="13">
      <c r="D989" s="32"/>
      <c r="O989" s="59"/>
    </row>
    <row r="990" spans="4:15" ht="13">
      <c r="D990" s="32"/>
      <c r="O990" s="59"/>
    </row>
    <row r="991" spans="4:15" ht="13">
      <c r="D991" s="32"/>
      <c r="O991" s="59"/>
    </row>
    <row r="992" spans="4:15" ht="13">
      <c r="D992" s="32"/>
      <c r="O992" s="59"/>
    </row>
    <row r="993" spans="4:15" ht="13">
      <c r="D993" s="32"/>
      <c r="O993" s="59"/>
    </row>
    <row r="994" spans="4:15" ht="13">
      <c r="D994" s="32"/>
      <c r="O994" s="59"/>
    </row>
    <row r="995" spans="4:15" ht="13">
      <c r="D995" s="32"/>
      <c r="O995" s="59"/>
    </row>
    <row r="996" spans="4:15" ht="13">
      <c r="D996" s="32"/>
      <c r="O996" s="59"/>
    </row>
    <row r="997" spans="4:15" ht="13">
      <c r="D997" s="32"/>
      <c r="O997" s="59"/>
    </row>
    <row r="998" spans="4:15" ht="13">
      <c r="D998" s="32"/>
      <c r="O998" s="59"/>
    </row>
    <row r="999" spans="4:15" ht="13">
      <c r="D999" s="32"/>
      <c r="O999" s="59"/>
    </row>
    <row r="1000" spans="4:15" ht="13">
      <c r="D1000" s="32"/>
      <c r="O1000" s="59"/>
    </row>
    <row r="1001" spans="4:15" ht="13">
      <c r="D1001" s="32"/>
      <c r="O1001" s="59"/>
    </row>
    <row r="1002" spans="4:15" ht="13">
      <c r="D1002" s="32"/>
      <c r="O1002" s="59"/>
    </row>
    <row r="1003" spans="4:15" ht="13">
      <c r="D1003" s="32"/>
      <c r="O1003" s="59"/>
    </row>
    <row r="1004" spans="4:15" ht="13">
      <c r="D1004" s="32"/>
      <c r="O1004" s="59"/>
    </row>
    <row r="1005" spans="4:15" ht="13">
      <c r="D1005" s="32"/>
      <c r="O1005" s="59"/>
    </row>
    <row r="1006" spans="4:15" ht="13">
      <c r="D1006" s="32"/>
      <c r="O1006" s="59"/>
    </row>
    <row r="1007" spans="4:15" ht="13">
      <c r="D1007" s="32"/>
      <c r="O1007" s="59"/>
    </row>
    <row r="1008" spans="4:15" ht="13">
      <c r="D1008" s="32"/>
      <c r="O1008" s="59"/>
    </row>
    <row r="1009" spans="4:15" ht="13">
      <c r="D1009" s="32"/>
      <c r="O1009" s="59"/>
    </row>
    <row r="1010" spans="4:15" ht="13">
      <c r="D1010" s="32"/>
      <c r="O1010" s="59"/>
    </row>
    <row r="1011" spans="4:15" ht="13">
      <c r="D1011" s="32"/>
      <c r="O1011" s="59"/>
    </row>
    <row r="1012" spans="4:15" ht="13">
      <c r="D1012" s="32"/>
      <c r="O1012" s="59"/>
    </row>
    <row r="1013" spans="4:15" ht="13">
      <c r="D1013" s="32"/>
      <c r="O1013" s="59"/>
    </row>
    <row r="1014" spans="4:15" ht="13">
      <c r="D1014" s="32"/>
      <c r="O1014" s="59"/>
    </row>
    <row r="1015" spans="4:15" ht="13">
      <c r="D1015" s="32"/>
      <c r="O1015" s="59"/>
    </row>
    <row r="1016" spans="4:15" ht="13">
      <c r="D1016" s="32"/>
      <c r="O1016" s="59"/>
    </row>
    <row r="1017" spans="4:15" ht="13">
      <c r="D1017" s="32"/>
      <c r="O1017" s="59"/>
    </row>
    <row r="1018" spans="4:15" ht="13">
      <c r="D1018" s="32"/>
      <c r="O1018" s="59"/>
    </row>
    <row r="1019" spans="4:15" ht="13">
      <c r="D1019" s="32"/>
      <c r="O1019" s="59"/>
    </row>
    <row r="1020" spans="4:15" ht="13">
      <c r="D1020" s="32"/>
      <c r="O1020" s="59"/>
    </row>
    <row r="1021" spans="4:15" ht="13">
      <c r="D1021" s="32"/>
      <c r="O1021" s="59"/>
    </row>
    <row r="1022" spans="4:15" ht="13">
      <c r="D1022" s="32"/>
      <c r="O1022" s="59"/>
    </row>
    <row r="1023" spans="4:15" ht="13">
      <c r="D1023" s="32"/>
      <c r="O1023" s="59"/>
    </row>
    <row r="1024" spans="4:15" ht="13">
      <c r="D1024" s="32"/>
      <c r="O1024" s="59"/>
    </row>
    <row r="1025" spans="4:15" ht="13">
      <c r="D1025" s="32"/>
      <c r="O1025" s="59"/>
    </row>
    <row r="1026" spans="4:15" ht="13">
      <c r="D1026" s="32"/>
      <c r="O1026" s="59"/>
    </row>
    <row r="1027" spans="4:15" ht="13">
      <c r="D1027" s="32"/>
      <c r="O1027" s="59"/>
    </row>
    <row r="1028" spans="4:15" ht="13">
      <c r="D1028" s="32"/>
      <c r="O1028" s="59"/>
    </row>
    <row r="1029" spans="4:15" ht="13">
      <c r="D1029" s="32"/>
      <c r="O1029" s="59"/>
    </row>
    <row r="1030" spans="4:15" ht="13">
      <c r="D1030" s="32"/>
      <c r="O1030" s="59"/>
    </row>
    <row r="1031" spans="4:15" ht="13">
      <c r="D1031" s="32"/>
      <c r="O1031" s="59"/>
    </row>
    <row r="1032" spans="4:15" ht="13">
      <c r="D1032" s="32"/>
      <c r="O1032" s="59"/>
    </row>
    <row r="1033" spans="4:15" ht="13">
      <c r="D1033" s="32"/>
      <c r="O1033" s="59"/>
    </row>
    <row r="1034" spans="4:15" ht="13">
      <c r="D1034" s="32"/>
      <c r="O1034" s="59"/>
    </row>
    <row r="1035" spans="4:15" ht="13">
      <c r="D1035" s="32"/>
      <c r="O1035" s="59"/>
    </row>
    <row r="1036" spans="4:15" ht="13">
      <c r="D1036" s="32"/>
      <c r="O1036" s="59"/>
    </row>
    <row r="1037" spans="4:15" ht="13">
      <c r="D1037" s="32"/>
      <c r="O1037" s="59"/>
    </row>
    <row r="1038" spans="4:15" ht="13">
      <c r="D1038" s="32"/>
      <c r="O1038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4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2.6640625" defaultRowHeight="15.75" customHeight="1"/>
  <cols>
    <col min="2" max="2" width="12.5" customWidth="1"/>
    <col min="3" max="3" width="24.6640625" customWidth="1"/>
    <col min="4" max="4" width="17.83203125" customWidth="1"/>
    <col min="5" max="5" width="11.5" customWidth="1"/>
    <col min="6" max="6" width="11.6640625" customWidth="1"/>
  </cols>
  <sheetData>
    <row r="1" spans="1:6" ht="15.75" customHeight="1">
      <c r="A1" s="48" t="s">
        <v>0</v>
      </c>
      <c r="B1" s="48" t="s">
        <v>143</v>
      </c>
      <c r="C1" s="48" t="s">
        <v>1</v>
      </c>
      <c r="D1" s="48" t="s">
        <v>2</v>
      </c>
      <c r="E1" s="48" t="s">
        <v>3</v>
      </c>
      <c r="F1" s="48" t="s">
        <v>4</v>
      </c>
    </row>
    <row r="2" spans="1:6" ht="15.75" customHeight="1">
      <c r="A2" s="51">
        <v>1</v>
      </c>
      <c r="B2" s="26"/>
      <c r="C2" s="26" t="s">
        <v>18</v>
      </c>
      <c r="D2" s="26" t="s">
        <v>204</v>
      </c>
      <c r="E2" s="52">
        <v>2350</v>
      </c>
      <c r="F2" s="53">
        <f t="shared" ref="F2:F42" si="0">E2*90</f>
        <v>211500</v>
      </c>
    </row>
    <row r="3" spans="1:6" ht="15.75" customHeight="1">
      <c r="A3" s="51">
        <v>2</v>
      </c>
      <c r="B3" s="26"/>
      <c r="C3" s="26" t="s">
        <v>18</v>
      </c>
      <c r="D3" s="26" t="s">
        <v>20</v>
      </c>
      <c r="E3" s="52">
        <v>2200</v>
      </c>
      <c r="F3" s="53">
        <f t="shared" si="0"/>
        <v>198000</v>
      </c>
    </row>
    <row r="4" spans="1:6" ht="15.75" customHeight="1">
      <c r="A4" s="51">
        <v>3</v>
      </c>
      <c r="B4" s="26"/>
      <c r="C4" s="26" t="s">
        <v>21</v>
      </c>
      <c r="D4" s="26" t="s">
        <v>23</v>
      </c>
      <c r="E4" s="52">
        <v>1800</v>
      </c>
      <c r="F4" s="53">
        <f t="shared" si="0"/>
        <v>162000</v>
      </c>
    </row>
    <row r="5" spans="1:6" ht="15.75" customHeight="1">
      <c r="A5" s="51">
        <v>4</v>
      </c>
      <c r="B5" s="26"/>
      <c r="C5" s="26" t="s">
        <v>21</v>
      </c>
      <c r="D5" s="26" t="s">
        <v>22</v>
      </c>
      <c r="E5" s="52">
        <v>2000</v>
      </c>
      <c r="F5" s="53">
        <f t="shared" si="0"/>
        <v>180000</v>
      </c>
    </row>
    <row r="6" spans="1:6" ht="15.75" customHeight="1">
      <c r="A6" s="51">
        <v>5</v>
      </c>
      <c r="B6" s="26"/>
      <c r="C6" s="26" t="s">
        <v>27</v>
      </c>
      <c r="D6" s="26" t="s">
        <v>92</v>
      </c>
      <c r="E6" s="6">
        <v>2000</v>
      </c>
      <c r="F6" s="53">
        <f t="shared" si="0"/>
        <v>180000</v>
      </c>
    </row>
    <row r="7" spans="1:6" ht="15.75" customHeight="1">
      <c r="A7" s="51">
        <v>6</v>
      </c>
      <c r="B7" s="26"/>
      <c r="C7" s="26" t="s">
        <v>27</v>
      </c>
      <c r="D7" s="26" t="s">
        <v>28</v>
      </c>
      <c r="E7" s="6">
        <v>2275</v>
      </c>
      <c r="F7" s="53">
        <f t="shared" si="0"/>
        <v>204750</v>
      </c>
    </row>
    <row r="8" spans="1:6" ht="15.75" customHeight="1">
      <c r="A8" s="51">
        <v>7</v>
      </c>
      <c r="B8" s="26"/>
      <c r="C8" s="26" t="s">
        <v>27</v>
      </c>
      <c r="D8" s="26" t="s">
        <v>109</v>
      </c>
      <c r="E8" s="6">
        <v>2000</v>
      </c>
      <c r="F8" s="53">
        <f t="shared" si="0"/>
        <v>180000</v>
      </c>
    </row>
    <row r="9" spans="1:6" ht="15.75" customHeight="1">
      <c r="A9" s="51">
        <v>8</v>
      </c>
      <c r="B9" s="26"/>
      <c r="C9" s="26" t="s">
        <v>30</v>
      </c>
      <c r="D9" s="26" t="s">
        <v>31</v>
      </c>
      <c r="E9" s="6"/>
      <c r="F9" s="53">
        <f t="shared" si="0"/>
        <v>0</v>
      </c>
    </row>
    <row r="10" spans="1:6" ht="15.75" customHeight="1">
      <c r="A10" s="51">
        <v>9</v>
      </c>
      <c r="B10" s="26"/>
      <c r="C10" s="26" t="s">
        <v>30</v>
      </c>
      <c r="D10" s="26" t="s">
        <v>32</v>
      </c>
      <c r="E10" s="6"/>
      <c r="F10" s="53">
        <f t="shared" si="0"/>
        <v>0</v>
      </c>
    </row>
    <row r="11" spans="1:6" ht="15.75" customHeight="1">
      <c r="A11" s="51">
        <v>10</v>
      </c>
      <c r="B11" s="26"/>
      <c r="C11" s="26" t="s">
        <v>30</v>
      </c>
      <c r="D11" s="26" t="s">
        <v>33</v>
      </c>
      <c r="E11" s="6"/>
      <c r="F11" s="53">
        <f t="shared" si="0"/>
        <v>0</v>
      </c>
    </row>
    <row r="12" spans="1:6" ht="15.75" customHeight="1">
      <c r="A12" s="51">
        <v>11</v>
      </c>
      <c r="B12" s="26"/>
      <c r="C12" s="26" t="s">
        <v>34</v>
      </c>
      <c r="D12" s="28" t="s">
        <v>35</v>
      </c>
      <c r="E12" s="6">
        <v>2200</v>
      </c>
      <c r="F12" s="53">
        <f t="shared" si="0"/>
        <v>198000</v>
      </c>
    </row>
    <row r="13" spans="1:6" ht="15.75" customHeight="1">
      <c r="A13" s="51">
        <v>12</v>
      </c>
      <c r="B13" s="26"/>
      <c r="C13" s="26" t="s">
        <v>34</v>
      </c>
      <c r="D13" s="54" t="s">
        <v>37</v>
      </c>
      <c r="E13" s="6">
        <v>2300</v>
      </c>
      <c r="F13" s="53">
        <f t="shared" si="0"/>
        <v>207000</v>
      </c>
    </row>
    <row r="14" spans="1:6" ht="15.75" customHeight="1">
      <c r="A14" s="51">
        <v>13</v>
      </c>
      <c r="B14" s="26"/>
      <c r="C14" s="26" t="s">
        <v>34</v>
      </c>
      <c r="D14" s="54" t="s">
        <v>38</v>
      </c>
      <c r="E14" s="6">
        <v>2000</v>
      </c>
      <c r="F14" s="53">
        <f t="shared" si="0"/>
        <v>180000</v>
      </c>
    </row>
    <row r="15" spans="1:6" ht="15.75" customHeight="1">
      <c r="A15" s="51">
        <v>14</v>
      </c>
      <c r="B15" s="26"/>
      <c r="C15" s="26" t="s">
        <v>34</v>
      </c>
      <c r="D15" s="54" t="s">
        <v>40</v>
      </c>
      <c r="E15" s="6">
        <v>1800</v>
      </c>
      <c r="F15" s="53">
        <f t="shared" si="0"/>
        <v>162000</v>
      </c>
    </row>
    <row r="16" spans="1:6" ht="15.75" customHeight="1">
      <c r="A16" s="51">
        <v>15</v>
      </c>
      <c r="B16" s="26"/>
      <c r="C16" s="26" t="s">
        <v>34</v>
      </c>
      <c r="D16" s="54" t="s">
        <v>42</v>
      </c>
      <c r="E16" s="6">
        <v>2000</v>
      </c>
      <c r="F16" s="53">
        <f t="shared" si="0"/>
        <v>180000</v>
      </c>
    </row>
    <row r="17" spans="1:6" ht="15.75" customHeight="1">
      <c r="A17" s="51">
        <v>16</v>
      </c>
      <c r="B17" s="26"/>
      <c r="C17" s="26" t="s">
        <v>34</v>
      </c>
      <c r="D17" s="27" t="s">
        <v>36</v>
      </c>
      <c r="E17" s="52">
        <v>2000</v>
      </c>
      <c r="F17" s="53">
        <f t="shared" si="0"/>
        <v>180000</v>
      </c>
    </row>
    <row r="18" spans="1:6" ht="15.75" customHeight="1">
      <c r="A18" s="51">
        <v>17</v>
      </c>
      <c r="B18" s="26"/>
      <c r="C18" s="26" t="s">
        <v>34</v>
      </c>
      <c r="D18" s="54" t="s">
        <v>39</v>
      </c>
      <c r="E18" s="52">
        <v>2000</v>
      </c>
      <c r="F18" s="53">
        <f t="shared" si="0"/>
        <v>180000</v>
      </c>
    </row>
    <row r="19" spans="1:6" ht="15.75" customHeight="1">
      <c r="A19" s="51">
        <v>18</v>
      </c>
      <c r="B19" s="26"/>
      <c r="C19" s="26" t="s">
        <v>34</v>
      </c>
      <c r="D19" s="54" t="s">
        <v>41</v>
      </c>
      <c r="E19" s="52">
        <v>2000</v>
      </c>
      <c r="F19" s="53">
        <f t="shared" si="0"/>
        <v>180000</v>
      </c>
    </row>
    <row r="20" spans="1:6" ht="15.75" customHeight="1">
      <c r="A20" s="51">
        <v>19</v>
      </c>
      <c r="B20" s="26"/>
      <c r="C20" s="26" t="s">
        <v>34</v>
      </c>
      <c r="D20" s="54" t="s">
        <v>44</v>
      </c>
      <c r="E20" s="52">
        <v>1600</v>
      </c>
      <c r="F20" s="53">
        <f t="shared" si="0"/>
        <v>144000</v>
      </c>
    </row>
    <row r="21" spans="1:6" ht="15.75" customHeight="1">
      <c r="A21" s="51">
        <v>20</v>
      </c>
      <c r="B21" s="26"/>
      <c r="C21" s="26" t="s">
        <v>34</v>
      </c>
      <c r="D21" s="54" t="s">
        <v>43</v>
      </c>
      <c r="E21" s="6">
        <v>2000</v>
      </c>
      <c r="F21" s="53">
        <f t="shared" si="0"/>
        <v>180000</v>
      </c>
    </row>
    <row r="22" spans="1:6" ht="15.75" customHeight="1">
      <c r="A22" s="51">
        <v>21</v>
      </c>
      <c r="B22" s="26"/>
      <c r="C22" s="68" t="s">
        <v>205</v>
      </c>
      <c r="D22" s="28" t="s">
        <v>47</v>
      </c>
      <c r="E22" s="52">
        <v>2200</v>
      </c>
      <c r="F22" s="53">
        <f t="shared" si="0"/>
        <v>198000</v>
      </c>
    </row>
    <row r="23" spans="1:6" ht="15.75" customHeight="1">
      <c r="A23" s="51">
        <v>22</v>
      </c>
      <c r="B23" s="26"/>
      <c r="C23" s="68" t="s">
        <v>46</v>
      </c>
      <c r="D23" s="28" t="s">
        <v>48</v>
      </c>
      <c r="E23" s="52">
        <v>2300</v>
      </c>
      <c r="F23" s="53">
        <f t="shared" si="0"/>
        <v>207000</v>
      </c>
    </row>
    <row r="24" spans="1:6" ht="15.75" customHeight="1">
      <c r="A24" s="51">
        <v>23</v>
      </c>
      <c r="B24" s="26"/>
      <c r="C24" s="68" t="s">
        <v>46</v>
      </c>
      <c r="D24" s="28" t="s">
        <v>49</v>
      </c>
      <c r="E24" s="52">
        <v>2100</v>
      </c>
      <c r="F24" s="53">
        <f t="shared" si="0"/>
        <v>189000</v>
      </c>
    </row>
    <row r="25" spans="1:6" ht="15.75" customHeight="1">
      <c r="A25" s="51">
        <v>24</v>
      </c>
      <c r="B25" s="26"/>
      <c r="C25" s="26" t="s">
        <v>50</v>
      </c>
      <c r="D25" s="26" t="s">
        <v>52</v>
      </c>
      <c r="E25" s="6">
        <v>2250</v>
      </c>
      <c r="F25" s="53">
        <f t="shared" si="0"/>
        <v>202500</v>
      </c>
    </row>
    <row r="26" spans="1:6" ht="15.75" customHeight="1">
      <c r="A26" s="51">
        <v>25</v>
      </c>
      <c r="B26" s="26"/>
      <c r="C26" s="26" t="s">
        <v>50</v>
      </c>
      <c r="D26" s="26" t="s">
        <v>51</v>
      </c>
      <c r="E26" s="6">
        <v>2000</v>
      </c>
      <c r="F26" s="53">
        <f t="shared" si="0"/>
        <v>180000</v>
      </c>
    </row>
    <row r="27" spans="1:6" ht="15.75" customHeight="1">
      <c r="A27" s="51">
        <v>26</v>
      </c>
      <c r="B27" s="26"/>
      <c r="C27" s="26" t="s">
        <v>59</v>
      </c>
      <c r="D27" s="26" t="s">
        <v>60</v>
      </c>
      <c r="E27" s="6">
        <v>1800</v>
      </c>
      <c r="F27" s="53">
        <f t="shared" si="0"/>
        <v>162000</v>
      </c>
    </row>
    <row r="28" spans="1:6" ht="15.75" customHeight="1">
      <c r="A28" s="51">
        <v>27</v>
      </c>
      <c r="B28" s="26"/>
      <c r="C28" s="26" t="s">
        <v>61</v>
      </c>
      <c r="D28" s="69" t="s">
        <v>187</v>
      </c>
      <c r="E28" s="6">
        <v>2000</v>
      </c>
      <c r="F28" s="53">
        <f t="shared" si="0"/>
        <v>180000</v>
      </c>
    </row>
    <row r="29" spans="1:6" ht="15.75" customHeight="1">
      <c r="A29" s="51">
        <v>28</v>
      </c>
      <c r="B29" s="26"/>
      <c r="C29" s="26" t="s">
        <v>61</v>
      </c>
      <c r="D29" s="54" t="s">
        <v>145</v>
      </c>
      <c r="E29" s="6">
        <v>2100</v>
      </c>
      <c r="F29" s="53">
        <f t="shared" si="0"/>
        <v>189000</v>
      </c>
    </row>
    <row r="30" spans="1:6" ht="15.75" customHeight="1">
      <c r="A30" s="51">
        <v>29</v>
      </c>
      <c r="B30" s="26"/>
      <c r="C30" s="26" t="s">
        <v>61</v>
      </c>
      <c r="D30" s="55" t="s">
        <v>67</v>
      </c>
      <c r="E30" s="6">
        <v>2100</v>
      </c>
      <c r="F30" s="53">
        <f t="shared" si="0"/>
        <v>189000</v>
      </c>
    </row>
    <row r="31" spans="1:6" ht="15.75" customHeight="1">
      <c r="A31" s="51">
        <v>30</v>
      </c>
      <c r="B31" s="26"/>
      <c r="C31" s="26" t="s">
        <v>61</v>
      </c>
      <c r="D31" s="55" t="s">
        <v>68</v>
      </c>
      <c r="E31" s="6">
        <v>2100</v>
      </c>
      <c r="F31" s="53">
        <f t="shared" si="0"/>
        <v>189000</v>
      </c>
    </row>
    <row r="32" spans="1:6" ht="15.75" customHeight="1">
      <c r="A32" s="51">
        <v>31</v>
      </c>
      <c r="B32" s="26"/>
      <c r="C32" s="26" t="s">
        <v>61</v>
      </c>
      <c r="D32" s="55" t="s">
        <v>69</v>
      </c>
      <c r="E32" s="6">
        <v>2000</v>
      </c>
      <c r="F32" s="53">
        <f t="shared" si="0"/>
        <v>180000</v>
      </c>
    </row>
    <row r="33" spans="1:6" ht="15.75" customHeight="1">
      <c r="A33" s="51">
        <v>32</v>
      </c>
      <c r="B33" s="26"/>
      <c r="C33" s="26" t="s">
        <v>61</v>
      </c>
      <c r="D33" s="55" t="s">
        <v>65</v>
      </c>
      <c r="E33" s="6">
        <v>2100</v>
      </c>
      <c r="F33" s="53">
        <f t="shared" si="0"/>
        <v>189000</v>
      </c>
    </row>
    <row r="34" spans="1:6" ht="15.75" customHeight="1">
      <c r="A34" s="51">
        <v>33</v>
      </c>
      <c r="B34" s="26"/>
      <c r="C34" s="26" t="s">
        <v>76</v>
      </c>
      <c r="D34" s="55" t="s">
        <v>77</v>
      </c>
      <c r="E34" s="56">
        <v>1800</v>
      </c>
      <c r="F34" s="53">
        <f t="shared" si="0"/>
        <v>162000</v>
      </c>
    </row>
    <row r="35" spans="1:6" ht="15.75" customHeight="1">
      <c r="A35" s="51">
        <v>34</v>
      </c>
      <c r="B35" s="26"/>
      <c r="C35" s="26" t="s">
        <v>148</v>
      </c>
      <c r="D35" s="55" t="s">
        <v>89</v>
      </c>
      <c r="E35" s="56">
        <v>1800</v>
      </c>
      <c r="F35" s="53">
        <f t="shared" si="0"/>
        <v>162000</v>
      </c>
    </row>
    <row r="36" spans="1:6" ht="15.75" customHeight="1">
      <c r="A36" s="51">
        <v>35</v>
      </c>
      <c r="B36" s="26"/>
      <c r="C36" s="26"/>
      <c r="D36" s="55" t="s">
        <v>206</v>
      </c>
      <c r="E36" s="56">
        <v>1800</v>
      </c>
      <c r="F36" s="53">
        <f t="shared" si="0"/>
        <v>162000</v>
      </c>
    </row>
    <row r="37" spans="1:6" ht="15.75" customHeight="1">
      <c r="A37" s="51">
        <v>36</v>
      </c>
      <c r="B37" s="26"/>
      <c r="C37" s="26" t="s">
        <v>72</v>
      </c>
      <c r="D37" s="55" t="s">
        <v>73</v>
      </c>
      <c r="E37" s="56">
        <v>1400</v>
      </c>
      <c r="F37" s="53">
        <f t="shared" si="0"/>
        <v>126000</v>
      </c>
    </row>
    <row r="38" spans="1:6" ht="15.75" customHeight="1">
      <c r="A38" s="51">
        <v>37</v>
      </c>
      <c r="B38" s="26"/>
      <c r="C38" s="26" t="s">
        <v>151</v>
      </c>
      <c r="D38" s="57" t="s">
        <v>66</v>
      </c>
      <c r="E38" s="6">
        <v>1800</v>
      </c>
      <c r="F38" s="53">
        <f t="shared" si="0"/>
        <v>162000</v>
      </c>
    </row>
    <row r="39" spans="1:6" ht="15.75" customHeight="1">
      <c r="A39" s="51">
        <v>38</v>
      </c>
      <c r="B39" s="26"/>
      <c r="C39" s="26" t="s">
        <v>152</v>
      </c>
      <c r="D39" s="55" t="s">
        <v>153</v>
      </c>
      <c r="E39" s="6">
        <v>1650</v>
      </c>
      <c r="F39" s="53">
        <f t="shared" si="0"/>
        <v>148500</v>
      </c>
    </row>
    <row r="40" spans="1:6" ht="15.75" customHeight="1">
      <c r="A40" s="51">
        <v>39</v>
      </c>
      <c r="B40" s="26"/>
      <c r="C40" s="26"/>
      <c r="D40" s="55" t="s">
        <v>154</v>
      </c>
      <c r="E40" s="6">
        <v>1650</v>
      </c>
      <c r="F40" s="53">
        <f t="shared" si="0"/>
        <v>148500</v>
      </c>
    </row>
    <row r="41" spans="1:6" ht="15.75" customHeight="1">
      <c r="A41" s="51">
        <v>40</v>
      </c>
      <c r="B41" s="26"/>
      <c r="C41" s="26" t="s">
        <v>156</v>
      </c>
      <c r="D41" s="55" t="s">
        <v>157</v>
      </c>
      <c r="E41" s="6">
        <v>2650</v>
      </c>
      <c r="F41" s="53">
        <f t="shared" si="0"/>
        <v>238500</v>
      </c>
    </row>
    <row r="42" spans="1:6" ht="15.75" customHeight="1">
      <c r="A42" s="51">
        <v>41</v>
      </c>
      <c r="B42" s="26"/>
      <c r="C42" s="26"/>
      <c r="D42" s="55" t="s">
        <v>158</v>
      </c>
      <c r="E42" s="6">
        <v>2650</v>
      </c>
      <c r="F42" s="53">
        <f t="shared" si="0"/>
        <v>238500</v>
      </c>
    </row>
    <row r="43" spans="1:6" ht="15.75" customHeight="1">
      <c r="A43" s="51">
        <v>42</v>
      </c>
      <c r="B43" s="26"/>
      <c r="C43" s="26"/>
      <c r="D43" s="55" t="s">
        <v>207</v>
      </c>
      <c r="E43" s="6">
        <v>2650</v>
      </c>
      <c r="F43" s="53">
        <v>52491</v>
      </c>
    </row>
    <row r="44" spans="1:6" ht="15.75" customHeight="1">
      <c r="A44" s="51">
        <v>43</v>
      </c>
      <c r="B44" s="26"/>
      <c r="C44" s="26"/>
      <c r="D44" s="55" t="s">
        <v>81</v>
      </c>
      <c r="E44" s="6">
        <v>2650</v>
      </c>
      <c r="F44" s="53">
        <f t="shared" ref="F44:F46" si="1">E44*90</f>
        <v>238500</v>
      </c>
    </row>
    <row r="45" spans="1:6" ht="15.75" customHeight="1">
      <c r="A45" s="51">
        <v>44</v>
      </c>
      <c r="B45" s="26"/>
      <c r="C45" s="26"/>
      <c r="D45" s="55" t="s">
        <v>208</v>
      </c>
      <c r="E45" s="6">
        <v>2650</v>
      </c>
      <c r="F45" s="53">
        <f t="shared" si="1"/>
        <v>238500</v>
      </c>
    </row>
    <row r="46" spans="1:6" ht="15.75" customHeight="1">
      <c r="A46" s="51">
        <v>45</v>
      </c>
      <c r="B46" s="26"/>
      <c r="C46" s="26"/>
      <c r="D46" s="55" t="s">
        <v>160</v>
      </c>
      <c r="E46" s="6">
        <v>2650</v>
      </c>
      <c r="F46" s="53">
        <f t="shared" si="1"/>
        <v>238500</v>
      </c>
    </row>
    <row r="47" spans="1:6" ht="15.75" customHeight="1">
      <c r="A47" s="51">
        <v>46</v>
      </c>
      <c r="B47" s="26"/>
      <c r="C47" s="26" t="s">
        <v>57</v>
      </c>
      <c r="D47" s="26" t="s">
        <v>58</v>
      </c>
      <c r="E47" s="6">
        <v>2628</v>
      </c>
      <c r="F47" s="53">
        <f t="shared" ref="F47:F50" si="2">E47*85</f>
        <v>223380</v>
      </c>
    </row>
    <row r="48" spans="1:6" ht="15.75" customHeight="1">
      <c r="A48" s="51">
        <v>47</v>
      </c>
      <c r="B48" s="26"/>
      <c r="C48" s="26" t="s">
        <v>53</v>
      </c>
      <c r="D48" s="62" t="s">
        <v>54</v>
      </c>
      <c r="E48" s="6">
        <v>4900</v>
      </c>
      <c r="F48" s="53">
        <f t="shared" si="2"/>
        <v>416500</v>
      </c>
    </row>
    <row r="49" spans="1:8" ht="15.75" customHeight="1">
      <c r="A49" s="51">
        <v>48</v>
      </c>
      <c r="B49" s="26"/>
      <c r="C49" s="26"/>
      <c r="D49" s="62" t="s">
        <v>55</v>
      </c>
      <c r="E49" s="6">
        <v>6482</v>
      </c>
      <c r="F49" s="53">
        <f t="shared" si="2"/>
        <v>550970</v>
      </c>
    </row>
    <row r="50" spans="1:8" ht="15.75" customHeight="1">
      <c r="A50" s="51">
        <v>49</v>
      </c>
      <c r="B50" s="26"/>
      <c r="C50" s="26"/>
      <c r="D50" s="62" t="s">
        <v>164</v>
      </c>
      <c r="E50" s="6">
        <v>5100</v>
      </c>
      <c r="F50" s="53">
        <f t="shared" si="2"/>
        <v>433500</v>
      </c>
    </row>
    <row r="51" spans="1:8" ht="15.75" customHeight="1">
      <c r="A51" s="51">
        <v>50</v>
      </c>
      <c r="B51" s="26"/>
      <c r="C51" s="26" t="s">
        <v>70</v>
      </c>
      <c r="D51" s="63" t="s">
        <v>71</v>
      </c>
      <c r="E51" s="38">
        <v>114884</v>
      </c>
      <c r="F51" s="53">
        <v>114884</v>
      </c>
    </row>
    <row r="52" spans="1:8" ht="13">
      <c r="A52" s="32"/>
      <c r="D52" s="32"/>
    </row>
    <row r="53" spans="1:8" ht="15">
      <c r="C53" s="35"/>
      <c r="D53" s="32"/>
    </row>
    <row r="54" spans="1:8" ht="16">
      <c r="D54" s="29" t="s">
        <v>82</v>
      </c>
      <c r="E54" s="29"/>
      <c r="F54" s="29"/>
    </row>
    <row r="55" spans="1:8" ht="13">
      <c r="D55" s="32"/>
    </row>
    <row r="56" spans="1:8" ht="13">
      <c r="D56" s="32"/>
    </row>
    <row r="57" spans="1:8" ht="13">
      <c r="D57" s="32"/>
    </row>
    <row r="58" spans="1:8" ht="13">
      <c r="D58" s="32"/>
    </row>
    <row r="59" spans="1:8" ht="13">
      <c r="D59" s="32"/>
    </row>
    <row r="60" spans="1:8" ht="13">
      <c r="D60" s="32"/>
    </row>
    <row r="61" spans="1:8" ht="13">
      <c r="D61" s="32"/>
    </row>
    <row r="62" spans="1:8" ht="16">
      <c r="A62" s="15"/>
      <c r="B62" s="15"/>
      <c r="C62" s="15"/>
      <c r="D62" s="29"/>
      <c r="E62" s="15"/>
      <c r="F62" s="15"/>
    </row>
    <row r="63" spans="1:8" ht="16">
      <c r="A63" s="29"/>
      <c r="B63" s="29"/>
      <c r="C63" s="29"/>
      <c r="D63" s="32"/>
      <c r="G63" s="32"/>
      <c r="H63" s="32"/>
    </row>
    <row r="64" spans="1:8" ht="13">
      <c r="D64" s="32"/>
    </row>
    <row r="65" spans="4:4" ht="13">
      <c r="D65" s="32"/>
    </row>
    <row r="66" spans="4:4" ht="13">
      <c r="D66" s="32"/>
    </row>
    <row r="67" spans="4:4" ht="13">
      <c r="D67" s="32"/>
    </row>
    <row r="68" spans="4:4" ht="13">
      <c r="D68" s="32"/>
    </row>
    <row r="69" spans="4:4" ht="13">
      <c r="D69" s="32"/>
    </row>
    <row r="70" spans="4:4" ht="13">
      <c r="D70" s="32"/>
    </row>
    <row r="71" spans="4:4" ht="13">
      <c r="D71" s="32"/>
    </row>
    <row r="72" spans="4:4" ht="13">
      <c r="D72" s="32"/>
    </row>
    <row r="73" spans="4:4" ht="13">
      <c r="D73" s="32"/>
    </row>
    <row r="74" spans="4:4" ht="13">
      <c r="D74" s="32"/>
    </row>
    <row r="75" spans="4:4" ht="13">
      <c r="D75" s="32"/>
    </row>
    <row r="76" spans="4:4" ht="13">
      <c r="D76" s="32"/>
    </row>
    <row r="77" spans="4:4" ht="13">
      <c r="D77" s="32"/>
    </row>
    <row r="78" spans="4:4" ht="13">
      <c r="D78" s="32"/>
    </row>
    <row r="79" spans="4:4" ht="13">
      <c r="D79" s="32"/>
    </row>
    <row r="80" spans="4:4" ht="13">
      <c r="D80" s="32"/>
    </row>
    <row r="81" spans="4:4" ht="13">
      <c r="D81" s="32"/>
    </row>
    <row r="82" spans="4:4" ht="13">
      <c r="D82" s="32"/>
    </row>
    <row r="83" spans="4:4" ht="13">
      <c r="D83" s="32"/>
    </row>
    <row r="84" spans="4:4" ht="13">
      <c r="D84" s="32"/>
    </row>
    <row r="85" spans="4:4" ht="13">
      <c r="D85" s="32"/>
    </row>
    <row r="86" spans="4:4" ht="13">
      <c r="D86" s="32"/>
    </row>
    <row r="87" spans="4:4" ht="13">
      <c r="D87" s="32"/>
    </row>
    <row r="88" spans="4:4" ht="13">
      <c r="D88" s="32"/>
    </row>
    <row r="89" spans="4:4" ht="13">
      <c r="D89" s="32"/>
    </row>
    <row r="90" spans="4:4" ht="13">
      <c r="D90" s="32"/>
    </row>
    <row r="91" spans="4:4" ht="13">
      <c r="D91" s="32"/>
    </row>
    <row r="92" spans="4:4" ht="13">
      <c r="D92" s="32"/>
    </row>
    <row r="93" spans="4:4" ht="13">
      <c r="D93" s="32"/>
    </row>
    <row r="94" spans="4:4" ht="13">
      <c r="D94" s="32"/>
    </row>
    <row r="95" spans="4:4" ht="13">
      <c r="D95" s="32"/>
    </row>
    <row r="96" spans="4:4" ht="13">
      <c r="D96" s="32"/>
    </row>
    <row r="97" spans="4:4" ht="13">
      <c r="D97" s="32"/>
    </row>
    <row r="98" spans="4:4" ht="13">
      <c r="D98" s="32"/>
    </row>
    <row r="99" spans="4:4" ht="13">
      <c r="D99" s="32"/>
    </row>
    <row r="100" spans="4:4" ht="13">
      <c r="D100" s="32"/>
    </row>
    <row r="101" spans="4:4" ht="13">
      <c r="D101" s="32"/>
    </row>
    <row r="102" spans="4:4" ht="13">
      <c r="D102" s="32"/>
    </row>
    <row r="103" spans="4:4" ht="13">
      <c r="D103" s="32"/>
    </row>
    <row r="104" spans="4:4" ht="13">
      <c r="D104" s="32"/>
    </row>
    <row r="105" spans="4:4" ht="13">
      <c r="D105" s="32"/>
    </row>
    <row r="106" spans="4:4" ht="13">
      <c r="D106" s="32"/>
    </row>
    <row r="107" spans="4:4" ht="13">
      <c r="D107" s="32"/>
    </row>
    <row r="108" spans="4:4" ht="13">
      <c r="D108" s="32"/>
    </row>
    <row r="109" spans="4:4" ht="13">
      <c r="D109" s="32"/>
    </row>
    <row r="110" spans="4:4" ht="13">
      <c r="D110" s="32"/>
    </row>
    <row r="111" spans="4:4" ht="13">
      <c r="D111" s="32"/>
    </row>
    <row r="112" spans="4:4" ht="13">
      <c r="D112" s="32"/>
    </row>
    <row r="113" spans="3:4" ht="13">
      <c r="D113" s="32"/>
    </row>
    <row r="114" spans="3:4" ht="13">
      <c r="D114" s="32"/>
    </row>
    <row r="115" spans="3:4" ht="13">
      <c r="D115" s="32"/>
    </row>
    <row r="116" spans="3:4" ht="13">
      <c r="D116" s="32"/>
    </row>
    <row r="117" spans="3:4" ht="13">
      <c r="D117" s="32"/>
    </row>
    <row r="118" spans="3:4" ht="13">
      <c r="D118" s="32"/>
    </row>
    <row r="119" spans="3:4" ht="13">
      <c r="D119" s="32"/>
    </row>
    <row r="120" spans="3:4" ht="13">
      <c r="D120" s="32"/>
    </row>
    <row r="121" spans="3:4" ht="13">
      <c r="D121" s="32"/>
    </row>
    <row r="122" spans="3:4" ht="13">
      <c r="D122" s="32"/>
    </row>
    <row r="123" spans="3:4" ht="13">
      <c r="D123" s="32"/>
    </row>
    <row r="124" spans="3:4" ht="13">
      <c r="D124" s="32"/>
    </row>
    <row r="125" spans="3:4" ht="13">
      <c r="D125" s="32"/>
    </row>
    <row r="126" spans="3:4" ht="15">
      <c r="C126" s="64" t="s">
        <v>33</v>
      </c>
      <c r="D126" s="65">
        <v>44600</v>
      </c>
    </row>
    <row r="127" spans="3:4" ht="15">
      <c r="C127" s="66" t="s">
        <v>165</v>
      </c>
      <c r="D127" s="65">
        <v>38800</v>
      </c>
    </row>
    <row r="128" spans="3:4" ht="15">
      <c r="C128" s="66" t="s">
        <v>166</v>
      </c>
      <c r="D128" s="65">
        <v>46584</v>
      </c>
    </row>
    <row r="129" spans="1:4" ht="15">
      <c r="C129" s="66" t="s">
        <v>86</v>
      </c>
      <c r="D129" s="65">
        <v>36402</v>
      </c>
    </row>
    <row r="130" spans="1:4" ht="15">
      <c r="C130" s="66" t="s">
        <v>112</v>
      </c>
      <c r="D130" s="65">
        <v>43000</v>
      </c>
    </row>
    <row r="131" spans="1:4" ht="15">
      <c r="C131" s="66" t="s">
        <v>42</v>
      </c>
      <c r="D131" s="65">
        <v>48800</v>
      </c>
    </row>
    <row r="132" spans="1:4" ht="15">
      <c r="C132" s="66" t="s">
        <v>49</v>
      </c>
      <c r="D132" s="65">
        <v>46304</v>
      </c>
    </row>
    <row r="133" spans="1:4" ht="15">
      <c r="C133" s="66" t="s">
        <v>167</v>
      </c>
      <c r="D133" s="65">
        <v>32742</v>
      </c>
    </row>
    <row r="134" spans="1:4" ht="15">
      <c r="A134" s="9" t="s">
        <v>168</v>
      </c>
      <c r="B134" s="9" t="s">
        <v>111</v>
      </c>
      <c r="C134" s="41" t="s">
        <v>75</v>
      </c>
      <c r="D134" s="65">
        <v>77600</v>
      </c>
    </row>
    <row r="135" spans="1:4" ht="15">
      <c r="C135" s="66" t="s">
        <v>169</v>
      </c>
      <c r="D135" s="65">
        <v>38904</v>
      </c>
    </row>
    <row r="136" spans="1:4" ht="15">
      <c r="C136" s="66" t="s">
        <v>170</v>
      </c>
      <c r="D136" s="65">
        <v>63426</v>
      </c>
    </row>
    <row r="137" spans="1:4" ht="15">
      <c r="C137" s="66" t="s">
        <v>171</v>
      </c>
      <c r="D137" s="65">
        <v>91887</v>
      </c>
    </row>
    <row r="138" spans="1:4" ht="15">
      <c r="C138" s="66" t="s">
        <v>172</v>
      </c>
      <c r="D138" s="65">
        <v>70000</v>
      </c>
    </row>
    <row r="139" spans="1:4" ht="13">
      <c r="D139" s="32"/>
    </row>
    <row r="140" spans="1:4" ht="15">
      <c r="C140" s="66" t="s">
        <v>173</v>
      </c>
      <c r="D140" s="65">
        <v>42000</v>
      </c>
    </row>
    <row r="141" spans="1:4" ht="15">
      <c r="C141" s="66" t="s">
        <v>174</v>
      </c>
      <c r="D141" s="65">
        <v>54057</v>
      </c>
    </row>
    <row r="142" spans="1:4" ht="15">
      <c r="C142" s="66" t="s">
        <v>175</v>
      </c>
      <c r="D142" s="65">
        <v>106800</v>
      </c>
    </row>
    <row r="143" spans="1:4" ht="15">
      <c r="C143" s="66" t="s">
        <v>176</v>
      </c>
      <c r="D143" s="65">
        <v>2762</v>
      </c>
    </row>
    <row r="144" spans="1:4" ht="15">
      <c r="C144" s="66" t="s">
        <v>177</v>
      </c>
      <c r="D144" s="65">
        <v>67327</v>
      </c>
    </row>
    <row r="145" spans="3:4" ht="15">
      <c r="C145" s="66" t="s">
        <v>178</v>
      </c>
      <c r="D145" s="65">
        <v>89115</v>
      </c>
    </row>
    <row r="146" spans="3:4" ht="15">
      <c r="C146" s="64" t="s">
        <v>179</v>
      </c>
      <c r="D146" s="65">
        <v>41768</v>
      </c>
    </row>
    <row r="147" spans="3:4" ht="15">
      <c r="C147" s="66" t="s">
        <v>180</v>
      </c>
      <c r="D147" s="65">
        <v>55520</v>
      </c>
    </row>
    <row r="148" spans="3:4" ht="15">
      <c r="C148" s="66" t="s">
        <v>181</v>
      </c>
      <c r="D148" s="65">
        <v>84870</v>
      </c>
    </row>
    <row r="149" spans="3:4" ht="15">
      <c r="C149" s="66" t="s">
        <v>182</v>
      </c>
      <c r="D149" s="65">
        <v>50963</v>
      </c>
    </row>
    <row r="150" spans="3:4" ht="15">
      <c r="C150" s="66" t="s">
        <v>88</v>
      </c>
      <c r="D150" s="65">
        <v>39600</v>
      </c>
    </row>
    <row r="151" spans="3:4" ht="15">
      <c r="C151" s="66" t="s">
        <v>67</v>
      </c>
      <c r="D151" s="65">
        <v>48775</v>
      </c>
    </row>
    <row r="152" spans="3:4" ht="15">
      <c r="C152" s="66" t="s">
        <v>44</v>
      </c>
      <c r="D152" s="65">
        <v>49840</v>
      </c>
    </row>
    <row r="153" spans="3:4" ht="15">
      <c r="C153" s="66" t="s">
        <v>183</v>
      </c>
      <c r="D153" s="65">
        <v>86356</v>
      </c>
    </row>
    <row r="154" spans="3:4" ht="15">
      <c r="C154" s="66" t="s">
        <v>184</v>
      </c>
      <c r="D154" s="65">
        <v>37000</v>
      </c>
    </row>
    <row r="155" spans="3:4" ht="15">
      <c r="C155" s="66" t="s">
        <v>185</v>
      </c>
      <c r="D155" s="65">
        <v>42360</v>
      </c>
    </row>
    <row r="156" spans="3:4" ht="15">
      <c r="C156" s="66" t="s">
        <v>186</v>
      </c>
      <c r="D156" s="65">
        <v>53800</v>
      </c>
    </row>
    <row r="157" spans="3:4" ht="15">
      <c r="C157" s="66" t="s">
        <v>65</v>
      </c>
      <c r="D157" s="65">
        <v>62600</v>
      </c>
    </row>
    <row r="158" spans="3:4" ht="15">
      <c r="C158" s="66" t="s">
        <v>187</v>
      </c>
      <c r="D158" s="65">
        <v>46886</v>
      </c>
    </row>
    <row r="159" spans="3:4" ht="15">
      <c r="C159" s="66" t="s">
        <v>71</v>
      </c>
      <c r="D159" s="65">
        <v>94167</v>
      </c>
    </row>
    <row r="160" spans="3:4" ht="15">
      <c r="C160" s="66" t="s">
        <v>66</v>
      </c>
      <c r="D160" s="65">
        <v>50713</v>
      </c>
    </row>
    <row r="161" spans="1:4" ht="15">
      <c r="C161" s="66" t="s">
        <v>40</v>
      </c>
      <c r="D161" s="65">
        <v>39168</v>
      </c>
    </row>
    <row r="162" spans="1:4" ht="13">
      <c r="D162" s="32"/>
    </row>
    <row r="163" spans="1:4" ht="15">
      <c r="C163" s="66" t="s">
        <v>91</v>
      </c>
      <c r="D163" s="65">
        <v>46714</v>
      </c>
    </row>
    <row r="164" spans="1:4" ht="15">
      <c r="C164" s="66" t="s">
        <v>89</v>
      </c>
      <c r="D164" s="65">
        <v>60470</v>
      </c>
    </row>
    <row r="165" spans="1:4" ht="15">
      <c r="C165" s="66" t="s">
        <v>188</v>
      </c>
      <c r="D165" s="65">
        <v>67531</v>
      </c>
    </row>
    <row r="166" spans="1:4" ht="15">
      <c r="C166" s="66" t="s">
        <v>23</v>
      </c>
      <c r="D166" s="65">
        <v>36300</v>
      </c>
    </row>
    <row r="167" spans="1:4" ht="15">
      <c r="C167" s="66" t="s">
        <v>189</v>
      </c>
      <c r="D167" s="65">
        <v>92000</v>
      </c>
    </row>
    <row r="168" spans="1:4" ht="15">
      <c r="C168" s="66" t="s">
        <v>190</v>
      </c>
      <c r="D168" s="65">
        <v>75353</v>
      </c>
    </row>
    <row r="169" spans="1:4" ht="15">
      <c r="C169" s="66" t="s">
        <v>58</v>
      </c>
      <c r="D169" s="65">
        <v>109430</v>
      </c>
    </row>
    <row r="170" spans="1:4" ht="15">
      <c r="C170" s="66" t="s">
        <v>38</v>
      </c>
      <c r="D170" s="65">
        <v>63122</v>
      </c>
    </row>
    <row r="171" spans="1:4" ht="15">
      <c r="C171" s="66" t="s">
        <v>51</v>
      </c>
      <c r="D171" s="65">
        <v>81068</v>
      </c>
    </row>
    <row r="172" spans="1:4" ht="15">
      <c r="C172" s="66" t="s">
        <v>191</v>
      </c>
      <c r="D172" s="65">
        <v>88539</v>
      </c>
    </row>
    <row r="173" spans="1:4" ht="15">
      <c r="C173" s="66" t="s">
        <v>192</v>
      </c>
      <c r="D173" s="65">
        <v>127801</v>
      </c>
    </row>
    <row r="174" spans="1:4" ht="15">
      <c r="C174" s="66" t="s">
        <v>68</v>
      </c>
      <c r="D174" s="65">
        <v>58811</v>
      </c>
    </row>
    <row r="175" spans="1:4" ht="15">
      <c r="A175" s="9" t="s">
        <v>193</v>
      </c>
      <c r="B175" s="9" t="s">
        <v>111</v>
      </c>
      <c r="C175" s="41" t="s">
        <v>113</v>
      </c>
      <c r="D175" s="65">
        <v>88835</v>
      </c>
    </row>
    <row r="176" spans="1:4" ht="15">
      <c r="C176" s="66" t="s">
        <v>194</v>
      </c>
      <c r="D176" s="65">
        <v>45500</v>
      </c>
    </row>
    <row r="177" spans="1:4" ht="15">
      <c r="C177" s="41"/>
      <c r="D177" s="65"/>
    </row>
    <row r="178" spans="1:4" ht="13">
      <c r="D178" s="32"/>
    </row>
    <row r="179" spans="1:4" ht="13">
      <c r="D179" s="32"/>
    </row>
    <row r="180" spans="1:4" ht="15">
      <c r="B180" s="41" t="s">
        <v>195</v>
      </c>
      <c r="C180" s="41" t="s">
        <v>99</v>
      </c>
      <c r="D180" s="65">
        <v>20900</v>
      </c>
    </row>
    <row r="181" spans="1:4" ht="15">
      <c r="B181" s="41" t="s">
        <v>196</v>
      </c>
      <c r="C181" s="41" t="s">
        <v>101</v>
      </c>
      <c r="D181" s="65">
        <v>13000</v>
      </c>
    </row>
    <row r="182" spans="1:4" ht="15">
      <c r="B182" s="41" t="s">
        <v>197</v>
      </c>
      <c r="C182" s="41" t="s">
        <v>102</v>
      </c>
      <c r="D182" s="65">
        <v>32927</v>
      </c>
    </row>
    <row r="183" spans="1:4" ht="15">
      <c r="B183" s="41" t="s">
        <v>197</v>
      </c>
      <c r="C183" s="41" t="s">
        <v>198</v>
      </c>
      <c r="D183" s="65">
        <v>46242</v>
      </c>
    </row>
    <row r="184" spans="1:4" ht="15">
      <c r="B184" s="41" t="s">
        <v>195</v>
      </c>
      <c r="C184" s="41" t="s">
        <v>104</v>
      </c>
      <c r="D184" s="65">
        <v>150000</v>
      </c>
    </row>
    <row r="185" spans="1:4" ht="15">
      <c r="B185" s="41" t="s">
        <v>195</v>
      </c>
      <c r="C185" s="41" t="s">
        <v>105</v>
      </c>
      <c r="D185" s="65">
        <v>110000</v>
      </c>
    </row>
    <row r="186" spans="1:4" ht="15">
      <c r="B186" s="41" t="s">
        <v>195</v>
      </c>
      <c r="C186" s="41" t="s">
        <v>107</v>
      </c>
      <c r="D186" s="65">
        <v>958081</v>
      </c>
    </row>
    <row r="187" spans="1:4" ht="15">
      <c r="A187" s="9" t="s">
        <v>199</v>
      </c>
      <c r="B187" s="41" t="s">
        <v>195</v>
      </c>
      <c r="C187" s="41" t="s">
        <v>106</v>
      </c>
      <c r="D187" s="65">
        <v>32796</v>
      </c>
    </row>
    <row r="188" spans="1:4" ht="15">
      <c r="A188" s="9" t="s">
        <v>199</v>
      </c>
      <c r="B188" s="41" t="s">
        <v>111</v>
      </c>
      <c r="C188" s="41" t="s">
        <v>200</v>
      </c>
      <c r="D188" s="65">
        <v>48449</v>
      </c>
    </row>
    <row r="189" spans="1:4" ht="15">
      <c r="A189" s="9" t="s">
        <v>201</v>
      </c>
      <c r="B189" s="41" t="s">
        <v>195</v>
      </c>
      <c r="C189" s="41" t="s">
        <v>202</v>
      </c>
      <c r="D189" s="65">
        <v>13514</v>
      </c>
    </row>
    <row r="190" spans="1:4" ht="15">
      <c r="A190" s="9" t="s">
        <v>193</v>
      </c>
      <c r="B190" s="41" t="s">
        <v>195</v>
      </c>
      <c r="C190" s="41" t="s">
        <v>100</v>
      </c>
      <c r="D190" s="65">
        <v>143640</v>
      </c>
    </row>
    <row r="191" spans="1:4" ht="13">
      <c r="D191" s="32"/>
    </row>
    <row r="192" spans="1:4" ht="13">
      <c r="D192" s="32"/>
    </row>
    <row r="193" spans="1:4" ht="13">
      <c r="D193" s="32"/>
    </row>
    <row r="194" spans="1:4" ht="15">
      <c r="C194" s="41"/>
      <c r="D194" s="65"/>
    </row>
    <row r="195" spans="1:4" ht="15">
      <c r="A195" s="41" t="s">
        <v>203</v>
      </c>
      <c r="B195" s="41" t="s">
        <v>94</v>
      </c>
      <c r="C195" s="67">
        <v>70600</v>
      </c>
      <c r="D195" s="32"/>
    </row>
    <row r="196" spans="1:4" ht="15">
      <c r="A196" s="41" t="s">
        <v>203</v>
      </c>
      <c r="B196" s="41" t="s">
        <v>95</v>
      </c>
      <c r="C196" s="67">
        <v>32000</v>
      </c>
      <c r="D196" s="32"/>
    </row>
    <row r="197" spans="1:4" ht="15">
      <c r="A197" s="9" t="s">
        <v>114</v>
      </c>
      <c r="B197" s="41" t="s">
        <v>96</v>
      </c>
      <c r="C197" s="67">
        <v>65700</v>
      </c>
      <c r="D197" s="32"/>
    </row>
    <row r="198" spans="1:4" ht="15">
      <c r="A198" s="9" t="s">
        <v>114</v>
      </c>
      <c r="B198" s="41" t="s">
        <v>90</v>
      </c>
      <c r="C198" s="67">
        <v>145700</v>
      </c>
      <c r="D198" s="32"/>
    </row>
    <row r="199" spans="1:4" ht="13">
      <c r="D199" s="32"/>
    </row>
    <row r="200" spans="1:4" ht="15">
      <c r="A200" s="35" t="s">
        <v>115</v>
      </c>
      <c r="B200" s="35">
        <v>133707</v>
      </c>
      <c r="D200" s="32"/>
    </row>
    <row r="201" spans="1:4" ht="15">
      <c r="A201" s="35" t="s">
        <v>116</v>
      </c>
      <c r="B201" s="35">
        <f>783000/12</f>
        <v>65250</v>
      </c>
      <c r="D201" s="32"/>
    </row>
    <row r="202" spans="1:4" ht="15">
      <c r="A202" s="35" t="s">
        <v>117</v>
      </c>
      <c r="B202" s="35">
        <v>172635</v>
      </c>
      <c r="D202" s="32"/>
    </row>
    <row r="203" spans="1:4" ht="15">
      <c r="A203" s="35" t="s">
        <v>118</v>
      </c>
      <c r="B203" s="35">
        <v>176484</v>
      </c>
      <c r="D203" s="32"/>
    </row>
    <row r="204" spans="1:4" ht="15">
      <c r="A204" s="35" t="s">
        <v>119</v>
      </c>
      <c r="B204" s="36">
        <v>86785</v>
      </c>
      <c r="D204" s="32"/>
    </row>
    <row r="205" spans="1:4" ht="13">
      <c r="D205" s="32"/>
    </row>
    <row r="206" spans="1:4" ht="13">
      <c r="D206" s="32"/>
    </row>
    <row r="207" spans="1:4" ht="13">
      <c r="D207" s="32"/>
    </row>
    <row r="208" spans="1:4" ht="13">
      <c r="D208" s="32"/>
    </row>
    <row r="209" spans="4:4" ht="13">
      <c r="D209" s="32"/>
    </row>
    <row r="210" spans="4:4" ht="13">
      <c r="D210" s="32"/>
    </row>
    <row r="211" spans="4:4" ht="13">
      <c r="D211" s="32"/>
    </row>
    <row r="212" spans="4:4" ht="13">
      <c r="D212" s="32"/>
    </row>
    <row r="213" spans="4:4" ht="13">
      <c r="D213" s="32"/>
    </row>
    <row r="214" spans="4:4" ht="13">
      <c r="D214" s="32"/>
    </row>
    <row r="215" spans="4:4" ht="13">
      <c r="D215" s="32"/>
    </row>
    <row r="216" spans="4:4" ht="13">
      <c r="D216" s="32"/>
    </row>
    <row r="217" spans="4:4" ht="13">
      <c r="D217" s="32"/>
    </row>
    <row r="218" spans="4:4" ht="13">
      <c r="D218" s="32"/>
    </row>
    <row r="219" spans="4:4" ht="13">
      <c r="D219" s="32"/>
    </row>
    <row r="220" spans="4:4" ht="13">
      <c r="D220" s="32"/>
    </row>
    <row r="221" spans="4:4" ht="13">
      <c r="D221" s="32"/>
    </row>
    <row r="222" spans="4:4" ht="13">
      <c r="D222" s="32"/>
    </row>
    <row r="223" spans="4:4" ht="13">
      <c r="D223" s="32"/>
    </row>
    <row r="224" spans="4:4" ht="13">
      <c r="D224" s="32"/>
    </row>
    <row r="225" spans="4:4" ht="13">
      <c r="D225" s="32"/>
    </row>
    <row r="226" spans="4:4" ht="13">
      <c r="D226" s="32"/>
    </row>
    <row r="227" spans="4:4" ht="13">
      <c r="D227" s="32"/>
    </row>
    <row r="228" spans="4:4" ht="13">
      <c r="D228" s="32"/>
    </row>
    <row r="229" spans="4:4" ht="13">
      <c r="D229" s="32"/>
    </row>
    <row r="230" spans="4:4" ht="13">
      <c r="D230" s="32"/>
    </row>
    <row r="231" spans="4:4" ht="13">
      <c r="D231" s="32"/>
    </row>
    <row r="232" spans="4:4" ht="13">
      <c r="D232" s="32"/>
    </row>
    <row r="233" spans="4:4" ht="13">
      <c r="D233" s="32"/>
    </row>
    <row r="234" spans="4:4" ht="13">
      <c r="D234" s="32"/>
    </row>
    <row r="235" spans="4:4" ht="13">
      <c r="D235" s="32"/>
    </row>
    <row r="236" spans="4:4" ht="13">
      <c r="D236" s="32"/>
    </row>
    <row r="237" spans="4:4" ht="13">
      <c r="D237" s="32"/>
    </row>
    <row r="238" spans="4:4" ht="13">
      <c r="D238" s="32"/>
    </row>
    <row r="239" spans="4:4" ht="13">
      <c r="D239" s="32"/>
    </row>
    <row r="240" spans="4:4" ht="13">
      <c r="D240" s="32"/>
    </row>
    <row r="241" spans="4:4" ht="13">
      <c r="D241" s="32"/>
    </row>
    <row r="242" spans="4:4" ht="13">
      <c r="D242" s="32"/>
    </row>
    <row r="243" spans="4:4" ht="13">
      <c r="D243" s="32"/>
    </row>
    <row r="244" spans="4:4" ht="13">
      <c r="D244" s="32"/>
    </row>
    <row r="245" spans="4:4" ht="13">
      <c r="D245" s="32"/>
    </row>
    <row r="246" spans="4:4" ht="13">
      <c r="D246" s="32"/>
    </row>
    <row r="247" spans="4:4" ht="13">
      <c r="D247" s="32"/>
    </row>
    <row r="248" spans="4:4" ht="13">
      <c r="D248" s="32"/>
    </row>
    <row r="249" spans="4:4" ht="13">
      <c r="D249" s="32"/>
    </row>
    <row r="250" spans="4:4" ht="13">
      <c r="D250" s="32"/>
    </row>
    <row r="251" spans="4:4" ht="13">
      <c r="D251" s="32"/>
    </row>
    <row r="252" spans="4:4" ht="13">
      <c r="D252" s="32"/>
    </row>
    <row r="253" spans="4:4" ht="13">
      <c r="D253" s="32"/>
    </row>
    <row r="254" spans="4:4" ht="13">
      <c r="D254" s="32"/>
    </row>
    <row r="255" spans="4:4" ht="13">
      <c r="D255" s="32"/>
    </row>
    <row r="256" spans="4:4" ht="13">
      <c r="D256" s="32"/>
    </row>
    <row r="257" spans="4:4" ht="13">
      <c r="D257" s="32"/>
    </row>
    <row r="258" spans="4:4" ht="13">
      <c r="D258" s="32"/>
    </row>
    <row r="259" spans="4:4" ht="13">
      <c r="D259" s="32"/>
    </row>
    <row r="260" spans="4:4" ht="13">
      <c r="D260" s="32"/>
    </row>
    <row r="261" spans="4:4" ht="13">
      <c r="D261" s="32"/>
    </row>
    <row r="262" spans="4:4" ht="13">
      <c r="D262" s="32"/>
    </row>
    <row r="263" spans="4:4" ht="13">
      <c r="D263" s="32"/>
    </row>
    <row r="264" spans="4:4" ht="13">
      <c r="D264" s="32"/>
    </row>
    <row r="265" spans="4:4" ht="13">
      <c r="D265" s="32"/>
    </row>
    <row r="266" spans="4:4" ht="13">
      <c r="D266" s="32"/>
    </row>
    <row r="267" spans="4:4" ht="13">
      <c r="D267" s="32"/>
    </row>
    <row r="268" spans="4:4" ht="13">
      <c r="D268" s="32"/>
    </row>
    <row r="269" spans="4:4" ht="13">
      <c r="D269" s="32"/>
    </row>
    <row r="270" spans="4:4" ht="13">
      <c r="D270" s="32"/>
    </row>
    <row r="271" spans="4:4" ht="13">
      <c r="D271" s="32"/>
    </row>
    <row r="272" spans="4:4" ht="13">
      <c r="D272" s="32"/>
    </row>
    <row r="273" spans="4:4" ht="13">
      <c r="D273" s="32"/>
    </row>
    <row r="274" spans="4:4" ht="13">
      <c r="D274" s="32"/>
    </row>
    <row r="275" spans="4:4" ht="13">
      <c r="D275" s="32"/>
    </row>
    <row r="276" spans="4:4" ht="13">
      <c r="D276" s="32"/>
    </row>
    <row r="277" spans="4:4" ht="13">
      <c r="D277" s="32"/>
    </row>
    <row r="278" spans="4:4" ht="13">
      <c r="D278" s="32"/>
    </row>
    <row r="279" spans="4:4" ht="13">
      <c r="D279" s="32"/>
    </row>
    <row r="280" spans="4:4" ht="13">
      <c r="D280" s="32"/>
    </row>
    <row r="281" spans="4:4" ht="13">
      <c r="D281" s="32"/>
    </row>
    <row r="282" spans="4:4" ht="13">
      <c r="D282" s="32"/>
    </row>
    <row r="283" spans="4:4" ht="13">
      <c r="D283" s="32"/>
    </row>
    <row r="284" spans="4:4" ht="13">
      <c r="D284" s="32"/>
    </row>
    <row r="285" spans="4:4" ht="13">
      <c r="D285" s="32"/>
    </row>
    <row r="286" spans="4:4" ht="13">
      <c r="D286" s="32"/>
    </row>
    <row r="287" spans="4:4" ht="13">
      <c r="D287" s="32"/>
    </row>
    <row r="288" spans="4:4" ht="13">
      <c r="D288" s="32"/>
    </row>
    <row r="289" spans="4:4" ht="13">
      <c r="D289" s="32"/>
    </row>
    <row r="290" spans="4:4" ht="13">
      <c r="D290" s="32"/>
    </row>
    <row r="291" spans="4:4" ht="13">
      <c r="D291" s="32"/>
    </row>
    <row r="292" spans="4:4" ht="13">
      <c r="D292" s="32"/>
    </row>
    <row r="293" spans="4:4" ht="13">
      <c r="D293" s="32"/>
    </row>
    <row r="294" spans="4:4" ht="13">
      <c r="D294" s="32"/>
    </row>
    <row r="295" spans="4:4" ht="13">
      <c r="D295" s="32"/>
    </row>
    <row r="296" spans="4:4" ht="13">
      <c r="D296" s="32"/>
    </row>
    <row r="297" spans="4:4" ht="13">
      <c r="D297" s="32"/>
    </row>
    <row r="298" spans="4:4" ht="13">
      <c r="D298" s="32"/>
    </row>
    <row r="299" spans="4:4" ht="13">
      <c r="D299" s="32"/>
    </row>
    <row r="300" spans="4:4" ht="13">
      <c r="D300" s="32"/>
    </row>
    <row r="301" spans="4:4" ht="13">
      <c r="D301" s="32"/>
    </row>
    <row r="302" spans="4:4" ht="13">
      <c r="D302" s="32"/>
    </row>
    <row r="303" spans="4:4" ht="13">
      <c r="D303" s="32"/>
    </row>
    <row r="304" spans="4:4" ht="13">
      <c r="D304" s="32"/>
    </row>
    <row r="305" spans="4:4" ht="13">
      <c r="D305" s="32"/>
    </row>
    <row r="306" spans="4:4" ht="13">
      <c r="D306" s="32"/>
    </row>
    <row r="307" spans="4:4" ht="13">
      <c r="D307" s="32"/>
    </row>
    <row r="308" spans="4:4" ht="13">
      <c r="D308" s="32"/>
    </row>
    <row r="309" spans="4:4" ht="13">
      <c r="D309" s="32"/>
    </row>
    <row r="310" spans="4:4" ht="13">
      <c r="D310" s="32"/>
    </row>
    <row r="311" spans="4:4" ht="13">
      <c r="D311" s="32"/>
    </row>
    <row r="312" spans="4:4" ht="13">
      <c r="D312" s="32"/>
    </row>
    <row r="313" spans="4:4" ht="13">
      <c r="D313" s="32"/>
    </row>
    <row r="314" spans="4:4" ht="13">
      <c r="D314" s="32"/>
    </row>
    <row r="315" spans="4:4" ht="13">
      <c r="D315" s="32"/>
    </row>
    <row r="316" spans="4:4" ht="13">
      <c r="D316" s="32"/>
    </row>
    <row r="317" spans="4:4" ht="13">
      <c r="D317" s="32"/>
    </row>
    <row r="318" spans="4:4" ht="13">
      <c r="D318" s="32"/>
    </row>
    <row r="319" spans="4:4" ht="13">
      <c r="D319" s="32"/>
    </row>
    <row r="320" spans="4:4" ht="13">
      <c r="D320" s="32"/>
    </row>
    <row r="321" spans="4:4" ht="13">
      <c r="D321" s="32"/>
    </row>
    <row r="322" spans="4:4" ht="13">
      <c r="D322" s="32"/>
    </row>
    <row r="323" spans="4:4" ht="13">
      <c r="D323" s="32"/>
    </row>
    <row r="324" spans="4:4" ht="13">
      <c r="D324" s="32"/>
    </row>
    <row r="325" spans="4:4" ht="13">
      <c r="D325" s="32"/>
    </row>
    <row r="326" spans="4:4" ht="13">
      <c r="D326" s="32"/>
    </row>
    <row r="327" spans="4:4" ht="13">
      <c r="D327" s="32"/>
    </row>
    <row r="328" spans="4:4" ht="13">
      <c r="D328" s="32"/>
    </row>
    <row r="329" spans="4:4" ht="13">
      <c r="D329" s="32"/>
    </row>
    <row r="330" spans="4:4" ht="13">
      <c r="D330" s="32"/>
    </row>
    <row r="331" spans="4:4" ht="13">
      <c r="D331" s="32"/>
    </row>
    <row r="332" spans="4:4" ht="13">
      <c r="D332" s="32"/>
    </row>
    <row r="333" spans="4:4" ht="13">
      <c r="D333" s="32"/>
    </row>
    <row r="334" spans="4:4" ht="13">
      <c r="D334" s="32"/>
    </row>
    <row r="335" spans="4:4" ht="13">
      <c r="D335" s="32"/>
    </row>
    <row r="336" spans="4:4" ht="13">
      <c r="D336" s="32"/>
    </row>
    <row r="337" spans="4:4" ht="13">
      <c r="D337" s="32"/>
    </row>
    <row r="338" spans="4:4" ht="13">
      <c r="D338" s="32"/>
    </row>
    <row r="339" spans="4:4" ht="13">
      <c r="D339" s="32"/>
    </row>
    <row r="340" spans="4:4" ht="13">
      <c r="D340" s="32"/>
    </row>
    <row r="341" spans="4:4" ht="13">
      <c r="D341" s="32"/>
    </row>
    <row r="342" spans="4:4" ht="13">
      <c r="D342" s="32"/>
    </row>
    <row r="343" spans="4:4" ht="13">
      <c r="D343" s="32"/>
    </row>
    <row r="344" spans="4:4" ht="13">
      <c r="D344" s="32"/>
    </row>
    <row r="345" spans="4:4" ht="13">
      <c r="D345" s="32"/>
    </row>
    <row r="346" spans="4:4" ht="13">
      <c r="D346" s="32"/>
    </row>
    <row r="347" spans="4:4" ht="13">
      <c r="D347" s="32"/>
    </row>
    <row r="348" spans="4:4" ht="13">
      <c r="D348" s="32"/>
    </row>
    <row r="349" spans="4:4" ht="13">
      <c r="D349" s="32"/>
    </row>
    <row r="350" spans="4:4" ht="13">
      <c r="D350" s="32"/>
    </row>
    <row r="351" spans="4:4" ht="13">
      <c r="D351" s="32"/>
    </row>
    <row r="352" spans="4:4" ht="13">
      <c r="D352" s="32"/>
    </row>
    <row r="353" spans="4:4" ht="13">
      <c r="D353" s="32"/>
    </row>
    <row r="354" spans="4:4" ht="13">
      <c r="D354" s="32"/>
    </row>
    <row r="355" spans="4:4" ht="13">
      <c r="D355" s="32"/>
    </row>
    <row r="356" spans="4:4" ht="13">
      <c r="D356" s="32"/>
    </row>
    <row r="357" spans="4:4" ht="13">
      <c r="D357" s="32"/>
    </row>
    <row r="358" spans="4:4" ht="13">
      <c r="D358" s="32"/>
    </row>
    <row r="359" spans="4:4" ht="13">
      <c r="D359" s="32"/>
    </row>
    <row r="360" spans="4:4" ht="13">
      <c r="D360" s="32"/>
    </row>
    <row r="361" spans="4:4" ht="13">
      <c r="D361" s="32"/>
    </row>
    <row r="362" spans="4:4" ht="13">
      <c r="D362" s="32"/>
    </row>
    <row r="363" spans="4:4" ht="13">
      <c r="D363" s="32"/>
    </row>
    <row r="364" spans="4:4" ht="13">
      <c r="D364" s="32"/>
    </row>
    <row r="365" spans="4:4" ht="13">
      <c r="D365" s="32"/>
    </row>
    <row r="366" spans="4:4" ht="13">
      <c r="D366" s="32"/>
    </row>
    <row r="367" spans="4:4" ht="13">
      <c r="D367" s="32"/>
    </row>
    <row r="368" spans="4:4" ht="13">
      <c r="D368" s="32"/>
    </row>
    <row r="369" spans="4:4" ht="13">
      <c r="D369" s="32"/>
    </row>
    <row r="370" spans="4:4" ht="13">
      <c r="D370" s="32"/>
    </row>
    <row r="371" spans="4:4" ht="13">
      <c r="D371" s="32"/>
    </row>
    <row r="372" spans="4:4" ht="13">
      <c r="D372" s="32"/>
    </row>
    <row r="373" spans="4:4" ht="13">
      <c r="D373" s="32"/>
    </row>
    <row r="374" spans="4:4" ht="13">
      <c r="D374" s="32"/>
    </row>
    <row r="375" spans="4:4" ht="13">
      <c r="D375" s="32"/>
    </row>
    <row r="376" spans="4:4" ht="13">
      <c r="D376" s="32"/>
    </row>
    <row r="377" spans="4:4" ht="13">
      <c r="D377" s="32"/>
    </row>
    <row r="378" spans="4:4" ht="13">
      <c r="D378" s="32"/>
    </row>
    <row r="379" spans="4:4" ht="13">
      <c r="D379" s="32"/>
    </row>
    <row r="380" spans="4:4" ht="13">
      <c r="D380" s="32"/>
    </row>
    <row r="381" spans="4:4" ht="13">
      <c r="D381" s="32"/>
    </row>
    <row r="382" spans="4:4" ht="13">
      <c r="D382" s="32"/>
    </row>
    <row r="383" spans="4:4" ht="13">
      <c r="D383" s="32"/>
    </row>
    <row r="384" spans="4:4" ht="13">
      <c r="D384" s="32"/>
    </row>
    <row r="385" spans="4:4" ht="13">
      <c r="D385" s="32"/>
    </row>
    <row r="386" spans="4:4" ht="13">
      <c r="D386" s="32"/>
    </row>
    <row r="387" spans="4:4" ht="13">
      <c r="D387" s="32"/>
    </row>
    <row r="388" spans="4:4" ht="13">
      <c r="D388" s="32"/>
    </row>
    <row r="389" spans="4:4" ht="13">
      <c r="D389" s="32"/>
    </row>
    <row r="390" spans="4:4" ht="13">
      <c r="D390" s="32"/>
    </row>
    <row r="391" spans="4:4" ht="13">
      <c r="D391" s="32"/>
    </row>
    <row r="392" spans="4:4" ht="13">
      <c r="D392" s="32"/>
    </row>
    <row r="393" spans="4:4" ht="13">
      <c r="D393" s="32"/>
    </row>
    <row r="394" spans="4:4" ht="13">
      <c r="D394" s="32"/>
    </row>
    <row r="395" spans="4:4" ht="13">
      <c r="D395" s="32"/>
    </row>
    <row r="396" spans="4:4" ht="13">
      <c r="D396" s="32"/>
    </row>
    <row r="397" spans="4:4" ht="13">
      <c r="D397" s="32"/>
    </row>
    <row r="398" spans="4:4" ht="13">
      <c r="D398" s="32"/>
    </row>
    <row r="399" spans="4:4" ht="13">
      <c r="D399" s="32"/>
    </row>
    <row r="400" spans="4:4" ht="13">
      <c r="D400" s="32"/>
    </row>
    <row r="401" spans="4:4" ht="13">
      <c r="D401" s="32"/>
    </row>
    <row r="402" spans="4:4" ht="13">
      <c r="D402" s="32"/>
    </row>
    <row r="403" spans="4:4" ht="13">
      <c r="D403" s="32"/>
    </row>
    <row r="404" spans="4:4" ht="13">
      <c r="D404" s="32"/>
    </row>
    <row r="405" spans="4:4" ht="13">
      <c r="D405" s="32"/>
    </row>
    <row r="406" spans="4:4" ht="13">
      <c r="D406" s="32"/>
    </row>
    <row r="407" spans="4:4" ht="13">
      <c r="D407" s="32"/>
    </row>
    <row r="408" spans="4:4" ht="13">
      <c r="D408" s="32"/>
    </row>
    <row r="409" spans="4:4" ht="13">
      <c r="D409" s="32"/>
    </row>
    <row r="410" spans="4:4" ht="13">
      <c r="D410" s="32"/>
    </row>
    <row r="411" spans="4:4" ht="13">
      <c r="D411" s="32"/>
    </row>
    <row r="412" spans="4:4" ht="13">
      <c r="D412" s="32"/>
    </row>
    <row r="413" spans="4:4" ht="13">
      <c r="D413" s="32"/>
    </row>
    <row r="414" spans="4:4" ht="13">
      <c r="D414" s="32"/>
    </row>
    <row r="415" spans="4:4" ht="13">
      <c r="D415" s="32"/>
    </row>
    <row r="416" spans="4:4" ht="13">
      <c r="D416" s="32"/>
    </row>
    <row r="417" spans="4:4" ht="13">
      <c r="D417" s="32"/>
    </row>
    <row r="418" spans="4:4" ht="13">
      <c r="D418" s="32"/>
    </row>
    <row r="419" spans="4:4" ht="13">
      <c r="D419" s="32"/>
    </row>
    <row r="420" spans="4:4" ht="13">
      <c r="D420" s="32"/>
    </row>
    <row r="421" spans="4:4" ht="13">
      <c r="D421" s="32"/>
    </row>
    <row r="422" spans="4:4" ht="13">
      <c r="D422" s="32"/>
    </row>
    <row r="423" spans="4:4" ht="13">
      <c r="D423" s="32"/>
    </row>
    <row r="424" spans="4:4" ht="13">
      <c r="D424" s="32"/>
    </row>
    <row r="425" spans="4:4" ht="13">
      <c r="D425" s="32"/>
    </row>
    <row r="426" spans="4:4" ht="13">
      <c r="D426" s="32"/>
    </row>
    <row r="427" spans="4:4" ht="13">
      <c r="D427" s="32"/>
    </row>
    <row r="428" spans="4:4" ht="13">
      <c r="D428" s="32"/>
    </row>
    <row r="429" spans="4:4" ht="13">
      <c r="D429" s="32"/>
    </row>
    <row r="430" spans="4:4" ht="13">
      <c r="D430" s="32"/>
    </row>
    <row r="431" spans="4:4" ht="13">
      <c r="D431" s="32"/>
    </row>
    <row r="432" spans="4:4" ht="13">
      <c r="D432" s="32"/>
    </row>
    <row r="433" spans="4:4" ht="13">
      <c r="D433" s="32"/>
    </row>
    <row r="434" spans="4:4" ht="13">
      <c r="D434" s="32"/>
    </row>
    <row r="435" spans="4:4" ht="13">
      <c r="D435" s="32"/>
    </row>
    <row r="436" spans="4:4" ht="13">
      <c r="D436" s="32"/>
    </row>
    <row r="437" spans="4:4" ht="13">
      <c r="D437" s="32"/>
    </row>
    <row r="438" spans="4:4" ht="13">
      <c r="D438" s="32"/>
    </row>
    <row r="439" spans="4:4" ht="13">
      <c r="D439" s="32"/>
    </row>
    <row r="440" spans="4:4" ht="13">
      <c r="D440" s="32"/>
    </row>
    <row r="441" spans="4:4" ht="13">
      <c r="D441" s="32"/>
    </row>
    <row r="442" spans="4:4" ht="13">
      <c r="D442" s="32"/>
    </row>
    <row r="443" spans="4:4" ht="13">
      <c r="D443" s="32"/>
    </row>
    <row r="444" spans="4:4" ht="13">
      <c r="D444" s="32"/>
    </row>
    <row r="445" spans="4:4" ht="13">
      <c r="D445" s="32"/>
    </row>
    <row r="446" spans="4:4" ht="13">
      <c r="D446" s="32"/>
    </row>
    <row r="447" spans="4:4" ht="13">
      <c r="D447" s="32"/>
    </row>
    <row r="448" spans="4:4" ht="13">
      <c r="D448" s="32"/>
    </row>
    <row r="449" spans="4:4" ht="13">
      <c r="D449" s="32"/>
    </row>
    <row r="450" spans="4:4" ht="13">
      <c r="D450" s="32"/>
    </row>
    <row r="451" spans="4:4" ht="13">
      <c r="D451" s="32"/>
    </row>
    <row r="452" spans="4:4" ht="13">
      <c r="D452" s="32"/>
    </row>
    <row r="453" spans="4:4" ht="13">
      <c r="D453" s="32"/>
    </row>
    <row r="454" spans="4:4" ht="13">
      <c r="D454" s="32"/>
    </row>
    <row r="455" spans="4:4" ht="13">
      <c r="D455" s="32"/>
    </row>
    <row r="456" spans="4:4" ht="13">
      <c r="D456" s="32"/>
    </row>
    <row r="457" spans="4:4" ht="13">
      <c r="D457" s="32"/>
    </row>
    <row r="458" spans="4:4" ht="13">
      <c r="D458" s="32"/>
    </row>
    <row r="459" spans="4:4" ht="13">
      <c r="D459" s="32"/>
    </row>
    <row r="460" spans="4:4" ht="13">
      <c r="D460" s="32"/>
    </row>
    <row r="461" spans="4:4" ht="13">
      <c r="D461" s="32"/>
    </row>
    <row r="462" spans="4:4" ht="13">
      <c r="D462" s="32"/>
    </row>
    <row r="463" spans="4:4" ht="13">
      <c r="D463" s="32"/>
    </row>
    <row r="464" spans="4:4" ht="13">
      <c r="D464" s="32"/>
    </row>
    <row r="465" spans="4:4" ht="13">
      <c r="D465" s="32"/>
    </row>
    <row r="466" spans="4:4" ht="13">
      <c r="D466" s="32"/>
    </row>
    <row r="467" spans="4:4" ht="13">
      <c r="D467" s="32"/>
    </row>
    <row r="468" spans="4:4" ht="13">
      <c r="D468" s="32"/>
    </row>
    <row r="469" spans="4:4" ht="13">
      <c r="D469" s="32"/>
    </row>
    <row r="470" spans="4:4" ht="13">
      <c r="D470" s="32"/>
    </row>
    <row r="471" spans="4:4" ht="13">
      <c r="D471" s="32"/>
    </row>
    <row r="472" spans="4:4" ht="13">
      <c r="D472" s="32"/>
    </row>
    <row r="473" spans="4:4" ht="13">
      <c r="D473" s="32"/>
    </row>
    <row r="474" spans="4:4" ht="13">
      <c r="D474" s="32"/>
    </row>
    <row r="475" spans="4:4" ht="13">
      <c r="D475" s="32"/>
    </row>
    <row r="476" spans="4:4" ht="13">
      <c r="D476" s="32"/>
    </row>
    <row r="477" spans="4:4" ht="13">
      <c r="D477" s="32"/>
    </row>
    <row r="478" spans="4:4" ht="13">
      <c r="D478" s="32"/>
    </row>
    <row r="479" spans="4:4" ht="13">
      <c r="D479" s="32"/>
    </row>
    <row r="480" spans="4:4" ht="13">
      <c r="D480" s="32"/>
    </row>
    <row r="481" spans="4:4" ht="13">
      <c r="D481" s="32"/>
    </row>
    <row r="482" spans="4:4" ht="13">
      <c r="D482" s="32"/>
    </row>
    <row r="483" spans="4:4" ht="13">
      <c r="D483" s="32"/>
    </row>
    <row r="484" spans="4:4" ht="13">
      <c r="D484" s="32"/>
    </row>
    <row r="485" spans="4:4" ht="13">
      <c r="D485" s="32"/>
    </row>
    <row r="486" spans="4:4" ht="13">
      <c r="D486" s="32"/>
    </row>
    <row r="487" spans="4:4" ht="13">
      <c r="D487" s="32"/>
    </row>
    <row r="488" spans="4:4" ht="13">
      <c r="D488" s="32"/>
    </row>
    <row r="489" spans="4:4" ht="13">
      <c r="D489" s="32"/>
    </row>
    <row r="490" spans="4:4" ht="13">
      <c r="D490" s="32"/>
    </row>
    <row r="491" spans="4:4" ht="13">
      <c r="D491" s="32"/>
    </row>
    <row r="492" spans="4:4" ht="13">
      <c r="D492" s="32"/>
    </row>
    <row r="493" spans="4:4" ht="13">
      <c r="D493" s="32"/>
    </row>
    <row r="494" spans="4:4" ht="13">
      <c r="D494" s="32"/>
    </row>
    <row r="495" spans="4:4" ht="13">
      <c r="D495" s="32"/>
    </row>
    <row r="496" spans="4:4" ht="13">
      <c r="D496" s="32"/>
    </row>
    <row r="497" spans="4:4" ht="13">
      <c r="D497" s="32"/>
    </row>
    <row r="498" spans="4:4" ht="13">
      <c r="D498" s="32"/>
    </row>
    <row r="499" spans="4:4" ht="13">
      <c r="D499" s="32"/>
    </row>
    <row r="500" spans="4:4" ht="13">
      <c r="D500" s="32"/>
    </row>
    <row r="501" spans="4:4" ht="13">
      <c r="D501" s="32"/>
    </row>
    <row r="502" spans="4:4" ht="13">
      <c r="D502" s="32"/>
    </row>
    <row r="503" spans="4:4" ht="13">
      <c r="D503" s="32"/>
    </row>
    <row r="504" spans="4:4" ht="13">
      <c r="D504" s="32"/>
    </row>
    <row r="505" spans="4:4" ht="13">
      <c r="D505" s="32"/>
    </row>
    <row r="506" spans="4:4" ht="13">
      <c r="D506" s="32"/>
    </row>
    <row r="507" spans="4:4" ht="13">
      <c r="D507" s="32"/>
    </row>
    <row r="508" spans="4:4" ht="13">
      <c r="D508" s="32"/>
    </row>
    <row r="509" spans="4:4" ht="13">
      <c r="D509" s="32"/>
    </row>
    <row r="510" spans="4:4" ht="13">
      <c r="D510" s="32"/>
    </row>
    <row r="511" spans="4:4" ht="13">
      <c r="D511" s="32"/>
    </row>
    <row r="512" spans="4:4" ht="13">
      <c r="D512" s="32"/>
    </row>
    <row r="513" spans="4:4" ht="13">
      <c r="D513" s="32"/>
    </row>
    <row r="514" spans="4:4" ht="13">
      <c r="D514" s="32"/>
    </row>
    <row r="515" spans="4:4" ht="13">
      <c r="D515" s="32"/>
    </row>
    <row r="516" spans="4:4" ht="13">
      <c r="D516" s="32"/>
    </row>
    <row r="517" spans="4:4" ht="13">
      <c r="D517" s="32"/>
    </row>
    <row r="518" spans="4:4" ht="13">
      <c r="D518" s="32"/>
    </row>
    <row r="519" spans="4:4" ht="13">
      <c r="D519" s="32"/>
    </row>
    <row r="520" spans="4:4" ht="13">
      <c r="D520" s="32"/>
    </row>
    <row r="521" spans="4:4" ht="13">
      <c r="D521" s="32"/>
    </row>
    <row r="522" spans="4:4" ht="13">
      <c r="D522" s="32"/>
    </row>
    <row r="523" spans="4:4" ht="13">
      <c r="D523" s="32"/>
    </row>
    <row r="524" spans="4:4" ht="13">
      <c r="D524" s="32"/>
    </row>
    <row r="525" spans="4:4" ht="13">
      <c r="D525" s="32"/>
    </row>
    <row r="526" spans="4:4" ht="13">
      <c r="D526" s="32"/>
    </row>
    <row r="527" spans="4:4" ht="13">
      <c r="D527" s="32"/>
    </row>
    <row r="528" spans="4:4" ht="13">
      <c r="D528" s="32"/>
    </row>
    <row r="529" spans="4:4" ht="13">
      <c r="D529" s="32"/>
    </row>
    <row r="530" spans="4:4" ht="13">
      <c r="D530" s="32"/>
    </row>
    <row r="531" spans="4:4" ht="13">
      <c r="D531" s="32"/>
    </row>
    <row r="532" spans="4:4" ht="13">
      <c r="D532" s="32"/>
    </row>
    <row r="533" spans="4:4" ht="13">
      <c r="D533" s="32"/>
    </row>
    <row r="534" spans="4:4" ht="13">
      <c r="D534" s="32"/>
    </row>
    <row r="535" spans="4:4" ht="13">
      <c r="D535" s="32"/>
    </row>
    <row r="536" spans="4:4" ht="13">
      <c r="D536" s="32"/>
    </row>
    <row r="537" spans="4:4" ht="13">
      <c r="D537" s="32"/>
    </row>
    <row r="538" spans="4:4" ht="13">
      <c r="D538" s="32"/>
    </row>
    <row r="539" spans="4:4" ht="13">
      <c r="D539" s="32"/>
    </row>
    <row r="540" spans="4:4" ht="13">
      <c r="D540" s="32"/>
    </row>
    <row r="541" spans="4:4" ht="13">
      <c r="D541" s="32"/>
    </row>
    <row r="542" spans="4:4" ht="13">
      <c r="D542" s="32"/>
    </row>
    <row r="543" spans="4:4" ht="13">
      <c r="D543" s="32"/>
    </row>
    <row r="544" spans="4:4" ht="13">
      <c r="D544" s="32"/>
    </row>
    <row r="545" spans="4:4" ht="13">
      <c r="D545" s="32"/>
    </row>
    <row r="546" spans="4:4" ht="13">
      <c r="D546" s="32"/>
    </row>
    <row r="547" spans="4:4" ht="13">
      <c r="D547" s="32"/>
    </row>
    <row r="548" spans="4:4" ht="13">
      <c r="D548" s="32"/>
    </row>
    <row r="549" spans="4:4" ht="13">
      <c r="D549" s="32"/>
    </row>
    <row r="550" spans="4:4" ht="13">
      <c r="D550" s="32"/>
    </row>
    <row r="551" spans="4:4" ht="13">
      <c r="D551" s="32"/>
    </row>
    <row r="552" spans="4:4" ht="13">
      <c r="D552" s="32"/>
    </row>
    <row r="553" spans="4:4" ht="13">
      <c r="D553" s="32"/>
    </row>
    <row r="554" spans="4:4" ht="13">
      <c r="D554" s="32"/>
    </row>
    <row r="555" spans="4:4" ht="13">
      <c r="D555" s="32"/>
    </row>
    <row r="556" spans="4:4" ht="13">
      <c r="D556" s="32"/>
    </row>
    <row r="557" spans="4:4" ht="13">
      <c r="D557" s="32"/>
    </row>
    <row r="558" spans="4:4" ht="13">
      <c r="D558" s="32"/>
    </row>
    <row r="559" spans="4:4" ht="13">
      <c r="D559" s="32"/>
    </row>
    <row r="560" spans="4:4" ht="13">
      <c r="D560" s="32"/>
    </row>
    <row r="561" spans="4:4" ht="13">
      <c r="D561" s="32"/>
    </row>
    <row r="562" spans="4:4" ht="13">
      <c r="D562" s="32"/>
    </row>
    <row r="563" spans="4:4" ht="13">
      <c r="D563" s="32"/>
    </row>
    <row r="564" spans="4:4" ht="13">
      <c r="D564" s="32"/>
    </row>
    <row r="565" spans="4:4" ht="13">
      <c r="D565" s="32"/>
    </row>
    <row r="566" spans="4:4" ht="13">
      <c r="D566" s="32"/>
    </row>
    <row r="567" spans="4:4" ht="13">
      <c r="D567" s="32"/>
    </row>
    <row r="568" spans="4:4" ht="13">
      <c r="D568" s="32"/>
    </row>
    <row r="569" spans="4:4" ht="13">
      <c r="D569" s="32"/>
    </row>
    <row r="570" spans="4:4" ht="13">
      <c r="D570" s="32"/>
    </row>
    <row r="571" spans="4:4" ht="13">
      <c r="D571" s="32"/>
    </row>
    <row r="572" spans="4:4" ht="13">
      <c r="D572" s="32"/>
    </row>
    <row r="573" spans="4:4" ht="13">
      <c r="D573" s="32"/>
    </row>
    <row r="574" spans="4:4" ht="13">
      <c r="D574" s="32"/>
    </row>
    <row r="575" spans="4:4" ht="13">
      <c r="D575" s="32"/>
    </row>
    <row r="576" spans="4:4" ht="13">
      <c r="D576" s="32"/>
    </row>
    <row r="577" spans="4:4" ht="13">
      <c r="D577" s="32"/>
    </row>
    <row r="578" spans="4:4" ht="13">
      <c r="D578" s="32"/>
    </row>
    <row r="579" spans="4:4" ht="13">
      <c r="D579" s="32"/>
    </row>
    <row r="580" spans="4:4" ht="13">
      <c r="D580" s="32"/>
    </row>
    <row r="581" spans="4:4" ht="13">
      <c r="D581" s="32"/>
    </row>
    <row r="582" spans="4:4" ht="13">
      <c r="D582" s="32"/>
    </row>
    <row r="583" spans="4:4" ht="13">
      <c r="D583" s="32"/>
    </row>
    <row r="584" spans="4:4" ht="13">
      <c r="D584" s="32"/>
    </row>
    <row r="585" spans="4:4" ht="13">
      <c r="D585" s="32"/>
    </row>
    <row r="586" spans="4:4" ht="13">
      <c r="D586" s="32"/>
    </row>
    <row r="587" spans="4:4" ht="13">
      <c r="D587" s="32"/>
    </row>
    <row r="588" spans="4:4" ht="13">
      <c r="D588" s="32"/>
    </row>
    <row r="589" spans="4:4" ht="13">
      <c r="D589" s="32"/>
    </row>
    <row r="590" spans="4:4" ht="13">
      <c r="D590" s="32"/>
    </row>
    <row r="591" spans="4:4" ht="13">
      <c r="D591" s="32"/>
    </row>
    <row r="592" spans="4:4" ht="13">
      <c r="D592" s="32"/>
    </row>
    <row r="593" spans="4:4" ht="13">
      <c r="D593" s="32"/>
    </row>
    <row r="594" spans="4:4" ht="13">
      <c r="D594" s="32"/>
    </row>
    <row r="595" spans="4:4" ht="13">
      <c r="D595" s="32"/>
    </row>
    <row r="596" spans="4:4" ht="13">
      <c r="D596" s="32"/>
    </row>
    <row r="597" spans="4:4" ht="13">
      <c r="D597" s="32"/>
    </row>
    <row r="598" spans="4:4" ht="13">
      <c r="D598" s="32"/>
    </row>
    <row r="599" spans="4:4" ht="13">
      <c r="D599" s="32"/>
    </row>
    <row r="600" spans="4:4" ht="13">
      <c r="D600" s="32"/>
    </row>
    <row r="601" spans="4:4" ht="13">
      <c r="D601" s="32"/>
    </row>
    <row r="602" spans="4:4" ht="13">
      <c r="D602" s="32"/>
    </row>
    <row r="603" spans="4:4" ht="13">
      <c r="D603" s="32"/>
    </row>
    <row r="604" spans="4:4" ht="13">
      <c r="D604" s="32"/>
    </row>
    <row r="605" spans="4:4" ht="13">
      <c r="D605" s="32"/>
    </row>
    <row r="606" spans="4:4" ht="13">
      <c r="D606" s="32"/>
    </row>
    <row r="607" spans="4:4" ht="13">
      <c r="D607" s="32"/>
    </row>
    <row r="608" spans="4:4" ht="13">
      <c r="D608" s="32"/>
    </row>
    <row r="609" spans="4:4" ht="13">
      <c r="D609" s="32"/>
    </row>
    <row r="610" spans="4:4" ht="13">
      <c r="D610" s="32"/>
    </row>
    <row r="611" spans="4:4" ht="13">
      <c r="D611" s="32"/>
    </row>
    <row r="612" spans="4:4" ht="13">
      <c r="D612" s="32"/>
    </row>
    <row r="613" spans="4:4" ht="13">
      <c r="D613" s="32"/>
    </row>
    <row r="614" spans="4:4" ht="13">
      <c r="D614" s="32"/>
    </row>
    <row r="615" spans="4:4" ht="13">
      <c r="D615" s="32"/>
    </row>
    <row r="616" spans="4:4" ht="13">
      <c r="D616" s="32"/>
    </row>
    <row r="617" spans="4:4" ht="13">
      <c r="D617" s="32"/>
    </row>
    <row r="618" spans="4:4" ht="13">
      <c r="D618" s="32"/>
    </row>
    <row r="619" spans="4:4" ht="13">
      <c r="D619" s="32"/>
    </row>
    <row r="620" spans="4:4" ht="13">
      <c r="D620" s="32"/>
    </row>
    <row r="621" spans="4:4" ht="13">
      <c r="D621" s="32"/>
    </row>
    <row r="622" spans="4:4" ht="13">
      <c r="D622" s="32"/>
    </row>
    <row r="623" spans="4:4" ht="13">
      <c r="D623" s="32"/>
    </row>
    <row r="624" spans="4:4" ht="13">
      <c r="D624" s="32"/>
    </row>
    <row r="625" spans="4:4" ht="13">
      <c r="D625" s="32"/>
    </row>
    <row r="626" spans="4:4" ht="13">
      <c r="D626" s="32"/>
    </row>
    <row r="627" spans="4:4" ht="13">
      <c r="D627" s="32"/>
    </row>
    <row r="628" spans="4:4" ht="13">
      <c r="D628" s="32"/>
    </row>
    <row r="629" spans="4:4" ht="13">
      <c r="D629" s="32"/>
    </row>
    <row r="630" spans="4:4" ht="13">
      <c r="D630" s="32"/>
    </row>
    <row r="631" spans="4:4" ht="13">
      <c r="D631" s="32"/>
    </row>
    <row r="632" spans="4:4" ht="13">
      <c r="D632" s="32"/>
    </row>
    <row r="633" spans="4:4" ht="13">
      <c r="D633" s="32"/>
    </row>
    <row r="634" spans="4:4" ht="13">
      <c r="D634" s="32"/>
    </row>
    <row r="635" spans="4:4" ht="13">
      <c r="D635" s="32"/>
    </row>
    <row r="636" spans="4:4" ht="13">
      <c r="D636" s="32"/>
    </row>
    <row r="637" spans="4:4" ht="13">
      <c r="D637" s="32"/>
    </row>
    <row r="638" spans="4:4" ht="13">
      <c r="D638" s="32"/>
    </row>
    <row r="639" spans="4:4" ht="13">
      <c r="D639" s="32"/>
    </row>
    <row r="640" spans="4:4" ht="13">
      <c r="D640" s="32"/>
    </row>
    <row r="641" spans="4:4" ht="13">
      <c r="D641" s="32"/>
    </row>
    <row r="642" spans="4:4" ht="13">
      <c r="D642" s="32"/>
    </row>
    <row r="643" spans="4:4" ht="13">
      <c r="D643" s="32"/>
    </row>
    <row r="644" spans="4:4" ht="13">
      <c r="D644" s="32"/>
    </row>
    <row r="645" spans="4:4" ht="13">
      <c r="D645" s="32"/>
    </row>
    <row r="646" spans="4:4" ht="13">
      <c r="D646" s="32"/>
    </row>
    <row r="647" spans="4:4" ht="13">
      <c r="D647" s="32"/>
    </row>
    <row r="648" spans="4:4" ht="13">
      <c r="D648" s="32"/>
    </row>
    <row r="649" spans="4:4" ht="13">
      <c r="D649" s="32"/>
    </row>
    <row r="650" spans="4:4" ht="13">
      <c r="D650" s="32"/>
    </row>
    <row r="651" spans="4:4" ht="13">
      <c r="D651" s="32"/>
    </row>
    <row r="652" spans="4:4" ht="13">
      <c r="D652" s="32"/>
    </row>
    <row r="653" spans="4:4" ht="13">
      <c r="D653" s="32"/>
    </row>
    <row r="654" spans="4:4" ht="13">
      <c r="D654" s="32"/>
    </row>
    <row r="655" spans="4:4" ht="13">
      <c r="D655" s="32"/>
    </row>
    <row r="656" spans="4:4" ht="13">
      <c r="D656" s="32"/>
    </row>
    <row r="657" spans="4:4" ht="13">
      <c r="D657" s="32"/>
    </row>
    <row r="658" spans="4:4" ht="13">
      <c r="D658" s="32"/>
    </row>
    <row r="659" spans="4:4" ht="13">
      <c r="D659" s="32"/>
    </row>
    <row r="660" spans="4:4" ht="13">
      <c r="D660" s="32"/>
    </row>
    <row r="661" spans="4:4" ht="13">
      <c r="D661" s="32"/>
    </row>
    <row r="662" spans="4:4" ht="13">
      <c r="D662" s="32"/>
    </row>
    <row r="663" spans="4:4" ht="13">
      <c r="D663" s="32"/>
    </row>
    <row r="664" spans="4:4" ht="13">
      <c r="D664" s="32"/>
    </row>
    <row r="665" spans="4:4" ht="13">
      <c r="D665" s="32"/>
    </row>
    <row r="666" spans="4:4" ht="13">
      <c r="D666" s="32"/>
    </row>
    <row r="667" spans="4:4" ht="13">
      <c r="D667" s="32"/>
    </row>
    <row r="668" spans="4:4" ht="13">
      <c r="D668" s="32"/>
    </row>
    <row r="669" spans="4:4" ht="13">
      <c r="D669" s="32"/>
    </row>
    <row r="670" spans="4:4" ht="13">
      <c r="D670" s="32"/>
    </row>
    <row r="671" spans="4:4" ht="13">
      <c r="D671" s="32"/>
    </row>
    <row r="672" spans="4:4" ht="13">
      <c r="D672" s="32"/>
    </row>
    <row r="673" spans="4:4" ht="13">
      <c r="D673" s="32"/>
    </row>
    <row r="674" spans="4:4" ht="13">
      <c r="D674" s="32"/>
    </row>
    <row r="675" spans="4:4" ht="13">
      <c r="D675" s="32"/>
    </row>
    <row r="676" spans="4:4" ht="13">
      <c r="D676" s="32"/>
    </row>
    <row r="677" spans="4:4" ht="13">
      <c r="D677" s="32"/>
    </row>
    <row r="678" spans="4:4" ht="13">
      <c r="D678" s="32"/>
    </row>
    <row r="679" spans="4:4" ht="13">
      <c r="D679" s="32"/>
    </row>
    <row r="680" spans="4:4" ht="13">
      <c r="D680" s="32"/>
    </row>
    <row r="681" spans="4:4" ht="13">
      <c r="D681" s="32"/>
    </row>
    <row r="682" spans="4:4" ht="13">
      <c r="D682" s="32"/>
    </row>
    <row r="683" spans="4:4" ht="13">
      <c r="D683" s="32"/>
    </row>
    <row r="684" spans="4:4" ht="13">
      <c r="D684" s="32"/>
    </row>
    <row r="685" spans="4:4" ht="13">
      <c r="D685" s="32"/>
    </row>
    <row r="686" spans="4:4" ht="13">
      <c r="D686" s="32"/>
    </row>
    <row r="687" spans="4:4" ht="13">
      <c r="D687" s="32"/>
    </row>
    <row r="688" spans="4:4" ht="13">
      <c r="D688" s="32"/>
    </row>
    <row r="689" spans="4:4" ht="13">
      <c r="D689" s="32"/>
    </row>
    <row r="690" spans="4:4" ht="13">
      <c r="D690" s="32"/>
    </row>
    <row r="691" spans="4:4" ht="13">
      <c r="D691" s="32"/>
    </row>
    <row r="692" spans="4:4" ht="13">
      <c r="D692" s="32"/>
    </row>
    <row r="693" spans="4:4" ht="13">
      <c r="D693" s="32"/>
    </row>
    <row r="694" spans="4:4" ht="13">
      <c r="D694" s="32"/>
    </row>
    <row r="695" spans="4:4" ht="13">
      <c r="D695" s="32"/>
    </row>
    <row r="696" spans="4:4" ht="13">
      <c r="D696" s="32"/>
    </row>
    <row r="697" spans="4:4" ht="13">
      <c r="D697" s="32"/>
    </row>
    <row r="698" spans="4:4" ht="13">
      <c r="D698" s="32"/>
    </row>
    <row r="699" spans="4:4" ht="13">
      <c r="D699" s="32"/>
    </row>
    <row r="700" spans="4:4" ht="13">
      <c r="D700" s="32"/>
    </row>
    <row r="701" spans="4:4" ht="13">
      <c r="D701" s="32"/>
    </row>
    <row r="702" spans="4:4" ht="13">
      <c r="D702" s="32"/>
    </row>
    <row r="703" spans="4:4" ht="13">
      <c r="D703" s="32"/>
    </row>
    <row r="704" spans="4:4" ht="13">
      <c r="D704" s="32"/>
    </row>
    <row r="705" spans="4:4" ht="13">
      <c r="D705" s="32"/>
    </row>
    <row r="706" spans="4:4" ht="13">
      <c r="D706" s="32"/>
    </row>
    <row r="707" spans="4:4" ht="13">
      <c r="D707" s="32"/>
    </row>
    <row r="708" spans="4:4" ht="13">
      <c r="D708" s="32"/>
    </row>
    <row r="709" spans="4:4" ht="13">
      <c r="D709" s="32"/>
    </row>
    <row r="710" spans="4:4" ht="13">
      <c r="D710" s="32"/>
    </row>
    <row r="711" spans="4:4" ht="13">
      <c r="D711" s="32"/>
    </row>
    <row r="712" spans="4:4" ht="13">
      <c r="D712" s="32"/>
    </row>
    <row r="713" spans="4:4" ht="13">
      <c r="D713" s="32"/>
    </row>
    <row r="714" spans="4:4" ht="13">
      <c r="D714" s="32"/>
    </row>
    <row r="715" spans="4:4" ht="13">
      <c r="D715" s="32"/>
    </row>
    <row r="716" spans="4:4" ht="13">
      <c r="D716" s="32"/>
    </row>
    <row r="717" spans="4:4" ht="13">
      <c r="D717" s="32"/>
    </row>
    <row r="718" spans="4:4" ht="13">
      <c r="D718" s="32"/>
    </row>
    <row r="719" spans="4:4" ht="13">
      <c r="D719" s="32"/>
    </row>
    <row r="720" spans="4:4" ht="13">
      <c r="D720" s="32"/>
    </row>
    <row r="721" spans="4:4" ht="13">
      <c r="D721" s="32"/>
    </row>
    <row r="722" spans="4:4" ht="13">
      <c r="D722" s="32"/>
    </row>
    <row r="723" spans="4:4" ht="13">
      <c r="D723" s="32"/>
    </row>
    <row r="724" spans="4:4" ht="13">
      <c r="D724" s="32"/>
    </row>
    <row r="725" spans="4:4" ht="13">
      <c r="D725" s="32"/>
    </row>
    <row r="726" spans="4:4" ht="13">
      <c r="D726" s="32"/>
    </row>
    <row r="727" spans="4:4" ht="13">
      <c r="D727" s="32"/>
    </row>
    <row r="728" spans="4:4" ht="13">
      <c r="D728" s="32"/>
    </row>
    <row r="729" spans="4:4" ht="13">
      <c r="D729" s="32"/>
    </row>
    <row r="730" spans="4:4" ht="13">
      <c r="D730" s="32"/>
    </row>
    <row r="731" spans="4:4" ht="13">
      <c r="D731" s="32"/>
    </row>
    <row r="732" spans="4:4" ht="13">
      <c r="D732" s="32"/>
    </row>
    <row r="733" spans="4:4" ht="13">
      <c r="D733" s="32"/>
    </row>
    <row r="734" spans="4:4" ht="13">
      <c r="D734" s="32"/>
    </row>
    <row r="735" spans="4:4" ht="13">
      <c r="D735" s="32"/>
    </row>
    <row r="736" spans="4:4" ht="13">
      <c r="D736" s="32"/>
    </row>
    <row r="737" spans="4:4" ht="13">
      <c r="D737" s="32"/>
    </row>
    <row r="738" spans="4:4" ht="13">
      <c r="D738" s="32"/>
    </row>
    <row r="739" spans="4:4" ht="13">
      <c r="D739" s="32"/>
    </row>
    <row r="740" spans="4:4" ht="13">
      <c r="D740" s="32"/>
    </row>
    <row r="741" spans="4:4" ht="13">
      <c r="D741" s="32"/>
    </row>
    <row r="742" spans="4:4" ht="13">
      <c r="D742" s="32"/>
    </row>
    <row r="743" spans="4:4" ht="13">
      <c r="D743" s="32"/>
    </row>
    <row r="744" spans="4:4" ht="13">
      <c r="D744" s="32"/>
    </row>
    <row r="745" spans="4:4" ht="13">
      <c r="D745" s="32"/>
    </row>
    <row r="746" spans="4:4" ht="13">
      <c r="D746" s="32"/>
    </row>
    <row r="747" spans="4:4" ht="13">
      <c r="D747" s="32"/>
    </row>
    <row r="748" spans="4:4" ht="13">
      <c r="D748" s="32"/>
    </row>
    <row r="749" spans="4:4" ht="13">
      <c r="D749" s="32"/>
    </row>
    <row r="750" spans="4:4" ht="13">
      <c r="D750" s="32"/>
    </row>
    <row r="751" spans="4:4" ht="13">
      <c r="D751" s="32"/>
    </row>
    <row r="752" spans="4:4" ht="13">
      <c r="D752" s="32"/>
    </row>
    <row r="753" spans="4:4" ht="13">
      <c r="D753" s="32"/>
    </row>
    <row r="754" spans="4:4" ht="13">
      <c r="D754" s="32"/>
    </row>
    <row r="755" spans="4:4" ht="13">
      <c r="D755" s="32"/>
    </row>
    <row r="756" spans="4:4" ht="13">
      <c r="D756" s="32"/>
    </row>
    <row r="757" spans="4:4" ht="13">
      <c r="D757" s="32"/>
    </row>
    <row r="758" spans="4:4" ht="13">
      <c r="D758" s="32"/>
    </row>
    <row r="759" spans="4:4" ht="13">
      <c r="D759" s="32"/>
    </row>
    <row r="760" spans="4:4" ht="13">
      <c r="D760" s="32"/>
    </row>
    <row r="761" spans="4:4" ht="13">
      <c r="D761" s="32"/>
    </row>
    <row r="762" spans="4:4" ht="13">
      <c r="D762" s="32"/>
    </row>
    <row r="763" spans="4:4" ht="13">
      <c r="D763" s="32"/>
    </row>
    <row r="764" spans="4:4" ht="13">
      <c r="D764" s="32"/>
    </row>
    <row r="765" spans="4:4" ht="13">
      <c r="D765" s="32"/>
    </row>
    <row r="766" spans="4:4" ht="13">
      <c r="D766" s="32"/>
    </row>
    <row r="767" spans="4:4" ht="13">
      <c r="D767" s="32"/>
    </row>
    <row r="768" spans="4:4" ht="13">
      <c r="D768" s="32"/>
    </row>
    <row r="769" spans="4:4" ht="13">
      <c r="D769" s="32"/>
    </row>
    <row r="770" spans="4:4" ht="13">
      <c r="D770" s="32"/>
    </row>
    <row r="771" spans="4:4" ht="13">
      <c r="D771" s="32"/>
    </row>
    <row r="772" spans="4:4" ht="13">
      <c r="D772" s="32"/>
    </row>
    <row r="773" spans="4:4" ht="13">
      <c r="D773" s="32"/>
    </row>
    <row r="774" spans="4:4" ht="13">
      <c r="D774" s="32"/>
    </row>
    <row r="775" spans="4:4" ht="13">
      <c r="D775" s="32"/>
    </row>
    <row r="776" spans="4:4" ht="13">
      <c r="D776" s="32"/>
    </row>
    <row r="777" spans="4:4" ht="13">
      <c r="D777" s="32"/>
    </row>
    <row r="778" spans="4:4" ht="13">
      <c r="D778" s="32"/>
    </row>
    <row r="779" spans="4:4" ht="13">
      <c r="D779" s="32"/>
    </row>
    <row r="780" spans="4:4" ht="13">
      <c r="D780" s="32"/>
    </row>
    <row r="781" spans="4:4" ht="13">
      <c r="D781" s="32"/>
    </row>
    <row r="782" spans="4:4" ht="13">
      <c r="D782" s="32"/>
    </row>
    <row r="783" spans="4:4" ht="13">
      <c r="D783" s="32"/>
    </row>
    <row r="784" spans="4:4" ht="13">
      <c r="D784" s="32"/>
    </row>
    <row r="785" spans="4:4" ht="13">
      <c r="D785" s="32"/>
    </row>
    <row r="786" spans="4:4" ht="13">
      <c r="D786" s="32"/>
    </row>
    <row r="787" spans="4:4" ht="13">
      <c r="D787" s="32"/>
    </row>
    <row r="788" spans="4:4" ht="13">
      <c r="D788" s="32"/>
    </row>
    <row r="789" spans="4:4" ht="13">
      <c r="D789" s="32"/>
    </row>
    <row r="790" spans="4:4" ht="13">
      <c r="D790" s="32"/>
    </row>
    <row r="791" spans="4:4" ht="13">
      <c r="D791" s="32"/>
    </row>
    <row r="792" spans="4:4" ht="13">
      <c r="D792" s="32"/>
    </row>
    <row r="793" spans="4:4" ht="13">
      <c r="D793" s="32"/>
    </row>
    <row r="794" spans="4:4" ht="13">
      <c r="D794" s="32"/>
    </row>
    <row r="795" spans="4:4" ht="13">
      <c r="D795" s="32"/>
    </row>
    <row r="796" spans="4:4" ht="13">
      <c r="D796" s="32"/>
    </row>
    <row r="797" spans="4:4" ht="13">
      <c r="D797" s="32"/>
    </row>
    <row r="798" spans="4:4" ht="13">
      <c r="D798" s="32"/>
    </row>
    <row r="799" spans="4:4" ht="13">
      <c r="D799" s="32"/>
    </row>
    <row r="800" spans="4:4" ht="13">
      <c r="D800" s="32"/>
    </row>
    <row r="801" spans="4:4" ht="13">
      <c r="D801" s="32"/>
    </row>
    <row r="802" spans="4:4" ht="13">
      <c r="D802" s="32"/>
    </row>
    <row r="803" spans="4:4" ht="13">
      <c r="D803" s="32"/>
    </row>
    <row r="804" spans="4:4" ht="13">
      <c r="D804" s="32"/>
    </row>
    <row r="805" spans="4:4" ht="13">
      <c r="D805" s="32"/>
    </row>
    <row r="806" spans="4:4" ht="13">
      <c r="D806" s="32"/>
    </row>
    <row r="807" spans="4:4" ht="13">
      <c r="D807" s="32"/>
    </row>
    <row r="808" spans="4:4" ht="13">
      <c r="D808" s="32"/>
    </row>
    <row r="809" spans="4:4" ht="13">
      <c r="D809" s="32"/>
    </row>
    <row r="810" spans="4:4" ht="13">
      <c r="D810" s="32"/>
    </row>
    <row r="811" spans="4:4" ht="13">
      <c r="D811" s="32"/>
    </row>
    <row r="812" spans="4:4" ht="13">
      <c r="D812" s="32"/>
    </row>
    <row r="813" spans="4:4" ht="13">
      <c r="D813" s="32"/>
    </row>
    <row r="814" spans="4:4" ht="13">
      <c r="D814" s="32"/>
    </row>
    <row r="815" spans="4:4" ht="13">
      <c r="D815" s="32"/>
    </row>
    <row r="816" spans="4:4" ht="13">
      <c r="D816" s="32"/>
    </row>
    <row r="817" spans="4:4" ht="13">
      <c r="D817" s="32"/>
    </row>
    <row r="818" spans="4:4" ht="13">
      <c r="D818" s="32"/>
    </row>
    <row r="819" spans="4:4" ht="13">
      <c r="D819" s="32"/>
    </row>
    <row r="820" spans="4:4" ht="13">
      <c r="D820" s="32"/>
    </row>
    <row r="821" spans="4:4" ht="13">
      <c r="D821" s="32"/>
    </row>
    <row r="822" spans="4:4" ht="13">
      <c r="D822" s="32"/>
    </row>
    <row r="823" spans="4:4" ht="13">
      <c r="D823" s="32"/>
    </row>
    <row r="824" spans="4:4" ht="13">
      <c r="D824" s="32"/>
    </row>
    <row r="825" spans="4:4" ht="13">
      <c r="D825" s="32"/>
    </row>
    <row r="826" spans="4:4" ht="13">
      <c r="D826" s="32"/>
    </row>
    <row r="827" spans="4:4" ht="13">
      <c r="D827" s="32"/>
    </row>
    <row r="828" spans="4:4" ht="13">
      <c r="D828" s="32"/>
    </row>
    <row r="829" spans="4:4" ht="13">
      <c r="D829" s="32"/>
    </row>
    <row r="830" spans="4:4" ht="13">
      <c r="D830" s="32"/>
    </row>
    <row r="831" spans="4:4" ht="13">
      <c r="D831" s="32"/>
    </row>
    <row r="832" spans="4:4" ht="13">
      <c r="D832" s="32"/>
    </row>
    <row r="833" spans="4:4" ht="13">
      <c r="D833" s="32"/>
    </row>
    <row r="834" spans="4:4" ht="13">
      <c r="D834" s="32"/>
    </row>
    <row r="835" spans="4:4" ht="13">
      <c r="D835" s="32"/>
    </row>
    <row r="836" spans="4:4" ht="13">
      <c r="D836" s="32"/>
    </row>
    <row r="837" spans="4:4" ht="13">
      <c r="D837" s="32"/>
    </row>
    <row r="838" spans="4:4" ht="13">
      <c r="D838" s="32"/>
    </row>
    <row r="839" spans="4:4" ht="13">
      <c r="D839" s="32"/>
    </row>
    <row r="840" spans="4:4" ht="13">
      <c r="D840" s="32"/>
    </row>
    <row r="841" spans="4:4" ht="13">
      <c r="D841" s="32"/>
    </row>
    <row r="842" spans="4:4" ht="13">
      <c r="D842" s="32"/>
    </row>
    <row r="843" spans="4:4" ht="13">
      <c r="D843" s="32"/>
    </row>
    <row r="844" spans="4:4" ht="13">
      <c r="D844" s="32"/>
    </row>
    <row r="845" spans="4:4" ht="13">
      <c r="D845" s="32"/>
    </row>
    <row r="846" spans="4:4" ht="13">
      <c r="D846" s="32"/>
    </row>
    <row r="847" spans="4:4" ht="13">
      <c r="D847" s="32"/>
    </row>
    <row r="848" spans="4:4" ht="13">
      <c r="D848" s="32"/>
    </row>
    <row r="849" spans="4:4" ht="13">
      <c r="D849" s="32"/>
    </row>
    <row r="850" spans="4:4" ht="13">
      <c r="D850" s="32"/>
    </row>
    <row r="851" spans="4:4" ht="13">
      <c r="D851" s="32"/>
    </row>
    <row r="852" spans="4:4" ht="13">
      <c r="D852" s="32"/>
    </row>
    <row r="853" spans="4:4" ht="13">
      <c r="D853" s="32"/>
    </row>
    <row r="854" spans="4:4" ht="13">
      <c r="D854" s="32"/>
    </row>
    <row r="855" spans="4:4" ht="13">
      <c r="D855" s="32"/>
    </row>
    <row r="856" spans="4:4" ht="13">
      <c r="D856" s="32"/>
    </row>
    <row r="857" spans="4:4" ht="13">
      <c r="D857" s="32"/>
    </row>
    <row r="858" spans="4:4" ht="13">
      <c r="D858" s="32"/>
    </row>
    <row r="859" spans="4:4" ht="13">
      <c r="D859" s="32"/>
    </row>
    <row r="860" spans="4:4" ht="13">
      <c r="D860" s="32"/>
    </row>
    <row r="861" spans="4:4" ht="13">
      <c r="D861" s="32"/>
    </row>
    <row r="862" spans="4:4" ht="13">
      <c r="D862" s="32"/>
    </row>
    <row r="863" spans="4:4" ht="13">
      <c r="D863" s="32"/>
    </row>
    <row r="864" spans="4:4" ht="13">
      <c r="D864" s="32"/>
    </row>
    <row r="865" spans="4:4" ht="13">
      <c r="D865" s="32"/>
    </row>
    <row r="866" spans="4:4" ht="13">
      <c r="D866" s="32"/>
    </row>
    <row r="867" spans="4:4" ht="13">
      <c r="D867" s="32"/>
    </row>
    <row r="868" spans="4:4" ht="13">
      <c r="D868" s="32"/>
    </row>
    <row r="869" spans="4:4" ht="13">
      <c r="D869" s="32"/>
    </row>
    <row r="870" spans="4:4" ht="13">
      <c r="D870" s="32"/>
    </row>
    <row r="871" spans="4:4" ht="13">
      <c r="D871" s="32"/>
    </row>
    <row r="872" spans="4:4" ht="13">
      <c r="D872" s="32"/>
    </row>
    <row r="873" spans="4:4" ht="13">
      <c r="D873" s="32"/>
    </row>
    <row r="874" spans="4:4" ht="13">
      <c r="D874" s="32"/>
    </row>
    <row r="875" spans="4:4" ht="13">
      <c r="D875" s="32"/>
    </row>
    <row r="876" spans="4:4" ht="13">
      <c r="D876" s="32"/>
    </row>
    <row r="877" spans="4:4" ht="13">
      <c r="D877" s="32"/>
    </row>
    <row r="878" spans="4:4" ht="13">
      <c r="D878" s="32"/>
    </row>
    <row r="879" spans="4:4" ht="13">
      <c r="D879" s="32"/>
    </row>
    <row r="880" spans="4:4" ht="13">
      <c r="D880" s="32"/>
    </row>
    <row r="881" spans="4:4" ht="13">
      <c r="D881" s="32"/>
    </row>
    <row r="882" spans="4:4" ht="13">
      <c r="D882" s="32"/>
    </row>
    <row r="883" spans="4:4" ht="13">
      <c r="D883" s="32"/>
    </row>
    <row r="884" spans="4:4" ht="13">
      <c r="D884" s="32"/>
    </row>
    <row r="885" spans="4:4" ht="13">
      <c r="D885" s="32"/>
    </row>
    <row r="886" spans="4:4" ht="13">
      <c r="D886" s="32"/>
    </row>
    <row r="887" spans="4:4" ht="13">
      <c r="D887" s="32"/>
    </row>
    <row r="888" spans="4:4" ht="13">
      <c r="D888" s="32"/>
    </row>
    <row r="889" spans="4:4" ht="13">
      <c r="D889" s="32"/>
    </row>
    <row r="890" spans="4:4" ht="13">
      <c r="D890" s="32"/>
    </row>
    <row r="891" spans="4:4" ht="13">
      <c r="D891" s="32"/>
    </row>
    <row r="892" spans="4:4" ht="13">
      <c r="D892" s="32"/>
    </row>
    <row r="893" spans="4:4" ht="13">
      <c r="D893" s="32"/>
    </row>
    <row r="894" spans="4:4" ht="13">
      <c r="D894" s="32"/>
    </row>
    <row r="895" spans="4:4" ht="13">
      <c r="D895" s="32"/>
    </row>
    <row r="896" spans="4:4" ht="13">
      <c r="D896" s="32"/>
    </row>
    <row r="897" spans="4:4" ht="13">
      <c r="D897" s="32"/>
    </row>
    <row r="898" spans="4:4" ht="13">
      <c r="D898" s="32"/>
    </row>
    <row r="899" spans="4:4" ht="13">
      <c r="D899" s="32"/>
    </row>
    <row r="900" spans="4:4" ht="13">
      <c r="D900" s="32"/>
    </row>
    <row r="901" spans="4:4" ht="13">
      <c r="D901" s="32"/>
    </row>
    <row r="902" spans="4:4" ht="13">
      <c r="D902" s="32"/>
    </row>
    <row r="903" spans="4:4" ht="13">
      <c r="D903" s="32"/>
    </row>
    <row r="904" spans="4:4" ht="13">
      <c r="D904" s="32"/>
    </row>
    <row r="905" spans="4:4" ht="13">
      <c r="D905" s="32"/>
    </row>
    <row r="906" spans="4:4" ht="13">
      <c r="D906" s="32"/>
    </row>
    <row r="907" spans="4:4" ht="13">
      <c r="D907" s="32"/>
    </row>
    <row r="908" spans="4:4" ht="13">
      <c r="D908" s="32"/>
    </row>
    <row r="909" spans="4:4" ht="13">
      <c r="D909" s="32"/>
    </row>
    <row r="910" spans="4:4" ht="13">
      <c r="D910" s="32"/>
    </row>
    <row r="911" spans="4:4" ht="13">
      <c r="D911" s="32"/>
    </row>
    <row r="912" spans="4:4" ht="13">
      <c r="D912" s="32"/>
    </row>
    <row r="913" spans="4:4" ht="13">
      <c r="D913" s="32"/>
    </row>
    <row r="914" spans="4:4" ht="13">
      <c r="D914" s="32"/>
    </row>
    <row r="915" spans="4:4" ht="13">
      <c r="D915" s="32"/>
    </row>
    <row r="916" spans="4:4" ht="13">
      <c r="D916" s="32"/>
    </row>
    <row r="917" spans="4:4" ht="13">
      <c r="D917" s="32"/>
    </row>
    <row r="918" spans="4:4" ht="13">
      <c r="D918" s="32"/>
    </row>
    <row r="919" spans="4:4" ht="13">
      <c r="D919" s="32"/>
    </row>
    <row r="920" spans="4:4" ht="13">
      <c r="D920" s="32"/>
    </row>
    <row r="921" spans="4:4" ht="13">
      <c r="D921" s="32"/>
    </row>
    <row r="922" spans="4:4" ht="13">
      <c r="D922" s="32"/>
    </row>
    <row r="923" spans="4:4" ht="13">
      <c r="D923" s="32"/>
    </row>
    <row r="924" spans="4:4" ht="13">
      <c r="D924" s="32"/>
    </row>
    <row r="925" spans="4:4" ht="13">
      <c r="D925" s="32"/>
    </row>
    <row r="926" spans="4:4" ht="13">
      <c r="D926" s="32"/>
    </row>
    <row r="927" spans="4:4" ht="13">
      <c r="D927" s="32"/>
    </row>
    <row r="928" spans="4:4" ht="13">
      <c r="D928" s="32"/>
    </row>
    <row r="929" spans="4:4" ht="13">
      <c r="D929" s="32"/>
    </row>
    <row r="930" spans="4:4" ht="13">
      <c r="D930" s="32"/>
    </row>
    <row r="931" spans="4:4" ht="13">
      <c r="D931" s="32"/>
    </row>
    <row r="932" spans="4:4" ht="13">
      <c r="D932" s="32"/>
    </row>
    <row r="933" spans="4:4" ht="13">
      <c r="D933" s="32"/>
    </row>
    <row r="934" spans="4:4" ht="13">
      <c r="D934" s="32"/>
    </row>
    <row r="935" spans="4:4" ht="13">
      <c r="D935" s="32"/>
    </row>
    <row r="936" spans="4:4" ht="13">
      <c r="D936" s="32"/>
    </row>
    <row r="937" spans="4:4" ht="13">
      <c r="D937" s="32"/>
    </row>
    <row r="938" spans="4:4" ht="13">
      <c r="D938" s="32"/>
    </row>
    <row r="939" spans="4:4" ht="13">
      <c r="D939" s="32"/>
    </row>
    <row r="940" spans="4:4" ht="13">
      <c r="D940" s="32"/>
    </row>
    <row r="941" spans="4:4" ht="13">
      <c r="D941" s="32"/>
    </row>
    <row r="942" spans="4:4" ht="13">
      <c r="D942" s="32"/>
    </row>
    <row r="943" spans="4:4" ht="13">
      <c r="D943" s="32"/>
    </row>
    <row r="944" spans="4:4" ht="13">
      <c r="D944" s="32"/>
    </row>
    <row r="945" spans="4:4" ht="13">
      <c r="D945" s="32"/>
    </row>
    <row r="946" spans="4:4" ht="13">
      <c r="D946" s="32"/>
    </row>
    <row r="947" spans="4:4" ht="13">
      <c r="D947" s="32"/>
    </row>
    <row r="948" spans="4:4" ht="13">
      <c r="D948" s="32"/>
    </row>
    <row r="949" spans="4:4" ht="13">
      <c r="D949" s="32"/>
    </row>
    <row r="950" spans="4:4" ht="13">
      <c r="D950" s="32"/>
    </row>
    <row r="951" spans="4:4" ht="13">
      <c r="D951" s="32"/>
    </row>
    <row r="952" spans="4:4" ht="13">
      <c r="D952" s="32"/>
    </row>
    <row r="953" spans="4:4" ht="13">
      <c r="D953" s="32"/>
    </row>
    <row r="954" spans="4:4" ht="13">
      <c r="D954" s="32"/>
    </row>
    <row r="955" spans="4:4" ht="13">
      <c r="D955" s="32"/>
    </row>
    <row r="956" spans="4:4" ht="13">
      <c r="D956" s="32"/>
    </row>
    <row r="957" spans="4:4" ht="13">
      <c r="D957" s="32"/>
    </row>
    <row r="958" spans="4:4" ht="13">
      <c r="D958" s="32"/>
    </row>
    <row r="959" spans="4:4" ht="13">
      <c r="D959" s="32"/>
    </row>
    <row r="960" spans="4:4" ht="13">
      <c r="D960" s="32"/>
    </row>
    <row r="961" spans="4:4" ht="13">
      <c r="D961" s="32"/>
    </row>
    <row r="962" spans="4:4" ht="13">
      <c r="D962" s="32"/>
    </row>
    <row r="963" spans="4:4" ht="13">
      <c r="D963" s="32"/>
    </row>
    <row r="964" spans="4:4" ht="13">
      <c r="D964" s="32"/>
    </row>
    <row r="965" spans="4:4" ht="13">
      <c r="D965" s="32"/>
    </row>
    <row r="966" spans="4:4" ht="13">
      <c r="D966" s="32"/>
    </row>
    <row r="967" spans="4:4" ht="13">
      <c r="D967" s="32"/>
    </row>
    <row r="968" spans="4:4" ht="13">
      <c r="D968" s="32"/>
    </row>
    <row r="969" spans="4:4" ht="13">
      <c r="D969" s="32"/>
    </row>
    <row r="970" spans="4:4" ht="13">
      <c r="D970" s="32"/>
    </row>
    <row r="971" spans="4:4" ht="13">
      <c r="D971" s="32"/>
    </row>
    <row r="972" spans="4:4" ht="13">
      <c r="D972" s="32"/>
    </row>
    <row r="973" spans="4:4" ht="13">
      <c r="D973" s="32"/>
    </row>
    <row r="974" spans="4:4" ht="13">
      <c r="D974" s="32"/>
    </row>
    <row r="975" spans="4:4" ht="13">
      <c r="D975" s="32"/>
    </row>
    <row r="976" spans="4:4" ht="13">
      <c r="D976" s="32"/>
    </row>
    <row r="977" spans="4:4" ht="13">
      <c r="D977" s="32"/>
    </row>
    <row r="978" spans="4:4" ht="13">
      <c r="D978" s="32"/>
    </row>
    <row r="979" spans="4:4" ht="13">
      <c r="D979" s="32"/>
    </row>
    <row r="980" spans="4:4" ht="13">
      <c r="D980" s="32"/>
    </row>
    <row r="981" spans="4:4" ht="13">
      <c r="D981" s="32"/>
    </row>
    <row r="982" spans="4:4" ht="13">
      <c r="D982" s="32"/>
    </row>
    <row r="983" spans="4:4" ht="13">
      <c r="D983" s="32"/>
    </row>
    <row r="984" spans="4:4" ht="13">
      <c r="D984" s="32"/>
    </row>
    <row r="985" spans="4:4" ht="13">
      <c r="D985" s="32"/>
    </row>
    <row r="986" spans="4:4" ht="13">
      <c r="D986" s="32"/>
    </row>
    <row r="987" spans="4:4" ht="13">
      <c r="D987" s="32"/>
    </row>
    <row r="988" spans="4:4" ht="13">
      <c r="D988" s="32"/>
    </row>
    <row r="989" spans="4:4" ht="13">
      <c r="D989" s="32"/>
    </row>
    <row r="990" spans="4:4" ht="13">
      <c r="D990" s="32"/>
    </row>
    <row r="991" spans="4:4" ht="13">
      <c r="D991" s="32"/>
    </row>
    <row r="992" spans="4:4" ht="13">
      <c r="D992" s="32"/>
    </row>
    <row r="993" spans="4:4" ht="13">
      <c r="D993" s="32"/>
    </row>
    <row r="994" spans="4:4" ht="13">
      <c r="D994" s="32"/>
    </row>
    <row r="995" spans="4:4" ht="13">
      <c r="D995" s="32"/>
    </row>
    <row r="996" spans="4:4" ht="13">
      <c r="D996" s="32"/>
    </row>
    <row r="997" spans="4:4" ht="13">
      <c r="D997" s="32"/>
    </row>
    <row r="998" spans="4:4" ht="13">
      <c r="D998" s="32"/>
    </row>
    <row r="999" spans="4:4" ht="13">
      <c r="D999" s="32"/>
    </row>
    <row r="1000" spans="4:4" ht="13">
      <c r="D1000" s="32"/>
    </row>
    <row r="1001" spans="4:4" ht="13">
      <c r="D1001" s="32"/>
    </row>
    <row r="1002" spans="4:4" ht="13">
      <c r="D1002" s="32"/>
    </row>
    <row r="1003" spans="4:4" ht="13">
      <c r="D1003" s="32"/>
    </row>
    <row r="1004" spans="4:4" ht="13">
      <c r="D1004" s="32"/>
    </row>
    <row r="1005" spans="4:4" ht="13">
      <c r="D1005" s="32"/>
    </row>
    <row r="1006" spans="4:4" ht="13">
      <c r="D1006" s="32"/>
    </row>
    <row r="1007" spans="4:4" ht="13">
      <c r="D1007" s="32"/>
    </row>
    <row r="1008" spans="4:4" ht="13">
      <c r="D1008" s="32"/>
    </row>
    <row r="1009" spans="4:4" ht="13">
      <c r="D1009" s="32"/>
    </row>
    <row r="1010" spans="4:4" ht="13">
      <c r="D1010" s="32"/>
    </row>
    <row r="1011" spans="4:4" ht="13">
      <c r="D1011" s="32"/>
    </row>
    <row r="1012" spans="4:4" ht="13">
      <c r="D1012" s="32"/>
    </row>
    <row r="1013" spans="4:4" ht="13">
      <c r="D1013" s="32"/>
    </row>
    <row r="1014" spans="4:4" ht="13">
      <c r="D1014" s="32"/>
    </row>
    <row r="1015" spans="4:4" ht="13">
      <c r="D1015" s="32"/>
    </row>
    <row r="1016" spans="4:4" ht="13">
      <c r="D1016" s="32"/>
    </row>
    <row r="1017" spans="4:4" ht="13">
      <c r="D1017" s="32"/>
    </row>
    <row r="1018" spans="4:4" ht="13">
      <c r="D1018" s="32"/>
    </row>
    <row r="1019" spans="4:4" ht="13">
      <c r="D1019" s="32"/>
    </row>
    <row r="1020" spans="4:4" ht="13">
      <c r="D1020" s="32"/>
    </row>
    <row r="1021" spans="4:4" ht="13">
      <c r="D1021" s="32"/>
    </row>
    <row r="1022" spans="4:4" ht="13">
      <c r="D1022" s="32"/>
    </row>
    <row r="1023" spans="4:4" ht="13">
      <c r="D1023" s="32"/>
    </row>
    <row r="1024" spans="4:4" ht="13">
      <c r="D1024" s="32"/>
    </row>
    <row r="1025" spans="4:4" ht="13">
      <c r="D1025" s="32"/>
    </row>
    <row r="1026" spans="4:4" ht="13">
      <c r="D1026" s="32"/>
    </row>
    <row r="1027" spans="4:4" ht="13">
      <c r="D1027" s="32"/>
    </row>
    <row r="1028" spans="4:4" ht="13">
      <c r="D1028" s="32"/>
    </row>
    <row r="1029" spans="4:4" ht="13">
      <c r="D1029" s="32"/>
    </row>
    <row r="1030" spans="4:4" ht="13">
      <c r="D1030" s="32"/>
    </row>
    <row r="1031" spans="4:4" ht="13">
      <c r="D1031" s="32"/>
    </row>
    <row r="1032" spans="4:4" ht="13">
      <c r="D1032" s="32"/>
    </row>
    <row r="1033" spans="4:4" ht="13">
      <c r="D1033" s="32"/>
    </row>
    <row r="1034" spans="4:4" ht="13">
      <c r="D1034" s="32"/>
    </row>
    <row r="1035" spans="4:4" ht="13">
      <c r="D1035" s="32"/>
    </row>
    <row r="1036" spans="4:4" ht="13">
      <c r="D1036" s="32"/>
    </row>
    <row r="1037" spans="4:4" ht="13">
      <c r="D1037" s="32"/>
    </row>
    <row r="1038" spans="4:4" ht="13">
      <c r="D1038" s="32"/>
    </row>
    <row r="1039" spans="4:4" ht="13">
      <c r="D1039" s="32"/>
    </row>
    <row r="1040" spans="4:4" ht="13">
      <c r="D1040" s="32"/>
    </row>
    <row r="1041" spans="4:4" ht="13">
      <c r="D1041" s="32"/>
    </row>
  </sheetData>
  <hyperlinks>
    <hyperlink ref="C23" location="null!A1" display="Sayva solution" xr:uid="{00000000-0004-0000-0400-000000000000}"/>
    <hyperlink ref="C24" location="null!A1" display="Sayva solution" xr:uid="{00000000-0004-0000-04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4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640625" defaultRowHeight="15.75" customHeight="1"/>
  <cols>
    <col min="2" max="2" width="12.5" customWidth="1"/>
    <col min="3" max="3" width="26" bestFit="1" customWidth="1"/>
    <col min="4" max="4" width="17.83203125" customWidth="1"/>
    <col min="5" max="5" width="11.5" customWidth="1"/>
  </cols>
  <sheetData>
    <row r="1" spans="1:6" ht="15.75" customHeight="1">
      <c r="A1" s="48" t="s">
        <v>0</v>
      </c>
      <c r="B1" s="48" t="s">
        <v>143</v>
      </c>
      <c r="C1" s="48" t="s">
        <v>1</v>
      </c>
      <c r="D1" s="48" t="s">
        <v>2</v>
      </c>
      <c r="E1" s="48" t="s">
        <v>3</v>
      </c>
    </row>
    <row r="2" spans="1:6" ht="15.75" customHeight="1">
      <c r="A2" s="51">
        <v>1</v>
      </c>
      <c r="B2" s="26"/>
      <c r="C2" s="26" t="s">
        <v>18</v>
      </c>
      <c r="D2" s="26" t="s">
        <v>204</v>
      </c>
      <c r="E2" s="52">
        <v>2550</v>
      </c>
      <c r="F2" s="9"/>
    </row>
    <row r="3" spans="1:6" ht="15.75" customHeight="1">
      <c r="A3" s="51">
        <v>2</v>
      </c>
      <c r="B3" s="26"/>
      <c r="C3" s="26" t="s">
        <v>18</v>
      </c>
      <c r="D3" s="26" t="s">
        <v>20</v>
      </c>
      <c r="E3" s="52">
        <v>2325</v>
      </c>
    </row>
    <row r="4" spans="1:6" ht="15.75" customHeight="1">
      <c r="A4" s="51">
        <v>3</v>
      </c>
      <c r="B4" s="26"/>
      <c r="C4" s="26" t="s">
        <v>18</v>
      </c>
      <c r="D4" s="26" t="s">
        <v>209</v>
      </c>
      <c r="E4" s="52">
        <v>795.45</v>
      </c>
    </row>
    <row r="5" spans="1:6" ht="15.75" customHeight="1">
      <c r="A5" s="51">
        <v>4</v>
      </c>
      <c r="B5" s="26"/>
      <c r="C5" s="26" t="s">
        <v>21</v>
      </c>
      <c r="D5" s="26" t="s">
        <v>23</v>
      </c>
      <c r="E5" s="52">
        <v>1636.35</v>
      </c>
    </row>
    <row r="6" spans="1:6" ht="15.75" customHeight="1">
      <c r="A6" s="51">
        <v>5</v>
      </c>
      <c r="B6" s="26"/>
      <c r="C6" s="26" t="s">
        <v>21</v>
      </c>
      <c r="D6" s="26" t="s">
        <v>22</v>
      </c>
      <c r="E6" s="52">
        <v>1909.09</v>
      </c>
    </row>
    <row r="7" spans="1:6" ht="15.75" customHeight="1">
      <c r="A7" s="51">
        <v>6</v>
      </c>
      <c r="B7" s="26"/>
      <c r="C7" s="26" t="s">
        <v>27</v>
      </c>
      <c r="D7" s="26" t="s">
        <v>92</v>
      </c>
      <c r="E7" s="6">
        <v>2000</v>
      </c>
    </row>
    <row r="8" spans="1:6" ht="15.75" customHeight="1">
      <c r="A8" s="51">
        <v>7</v>
      </c>
      <c r="B8" s="26"/>
      <c r="C8" s="26" t="s">
        <v>27</v>
      </c>
      <c r="D8" s="26" t="s">
        <v>28</v>
      </c>
      <c r="E8" s="6">
        <v>2275</v>
      </c>
    </row>
    <row r="9" spans="1:6" ht="15.75" customHeight="1">
      <c r="A9" s="51">
        <v>8</v>
      </c>
      <c r="B9" s="26"/>
      <c r="C9" s="26" t="s">
        <v>27</v>
      </c>
      <c r="D9" s="26" t="s">
        <v>109</v>
      </c>
      <c r="E9" s="6">
        <v>2000</v>
      </c>
    </row>
    <row r="10" spans="1:6" ht="15.75" customHeight="1">
      <c r="A10" s="51">
        <v>9</v>
      </c>
      <c r="B10" s="26"/>
      <c r="C10" s="26" t="s">
        <v>30</v>
      </c>
      <c r="D10" s="26" t="s">
        <v>31</v>
      </c>
      <c r="E10" s="52">
        <f t="shared" ref="E10:E12" si="0">200+688</f>
        <v>888</v>
      </c>
    </row>
    <row r="11" spans="1:6" ht="15.75" customHeight="1">
      <c r="A11" s="51">
        <v>10</v>
      </c>
      <c r="B11" s="26"/>
      <c r="C11" s="26" t="s">
        <v>30</v>
      </c>
      <c r="D11" s="26" t="s">
        <v>32</v>
      </c>
      <c r="E11" s="52">
        <f t="shared" si="0"/>
        <v>888</v>
      </c>
    </row>
    <row r="12" spans="1:6" ht="15.75" customHeight="1">
      <c r="A12" s="51">
        <v>11</v>
      </c>
      <c r="B12" s="26"/>
      <c r="C12" s="26" t="s">
        <v>30</v>
      </c>
      <c r="D12" s="26" t="s">
        <v>33</v>
      </c>
      <c r="E12" s="52">
        <f t="shared" si="0"/>
        <v>888</v>
      </c>
    </row>
    <row r="13" spans="1:6" ht="15.75" customHeight="1">
      <c r="A13" s="51">
        <v>12</v>
      </c>
      <c r="B13" s="26"/>
      <c r="C13" s="26" t="s">
        <v>34</v>
      </c>
      <c r="D13" s="108" t="s">
        <v>35</v>
      </c>
      <c r="E13" s="52">
        <v>2100</v>
      </c>
    </row>
    <row r="14" spans="1:6" ht="15.75" customHeight="1">
      <c r="A14" s="51">
        <v>13</v>
      </c>
      <c r="B14" s="26"/>
      <c r="C14" s="26" t="s">
        <v>34</v>
      </c>
      <c r="D14" s="109" t="s">
        <v>37</v>
      </c>
      <c r="E14" s="52">
        <f>2090.91+25</f>
        <v>2115.91</v>
      </c>
    </row>
    <row r="15" spans="1:6" ht="15.75" customHeight="1">
      <c r="A15" s="51">
        <v>14</v>
      </c>
      <c r="B15" s="26"/>
      <c r="C15" s="26" t="s">
        <v>34</v>
      </c>
      <c r="D15" s="109" t="s">
        <v>38</v>
      </c>
      <c r="E15" s="52">
        <v>1727.27</v>
      </c>
    </row>
    <row r="16" spans="1:6" ht="15.75" customHeight="1">
      <c r="A16" s="51">
        <v>15</v>
      </c>
      <c r="B16" s="26"/>
      <c r="C16" s="26" t="s">
        <v>34</v>
      </c>
      <c r="D16" s="109" t="s">
        <v>40</v>
      </c>
      <c r="E16" s="52">
        <v>1636.36</v>
      </c>
    </row>
    <row r="17" spans="1:5" ht="15.75" customHeight="1">
      <c r="A17" s="51">
        <v>16</v>
      </c>
      <c r="B17" s="26"/>
      <c r="C17" s="26" t="s">
        <v>34</v>
      </c>
      <c r="D17" s="109" t="s">
        <v>42</v>
      </c>
      <c r="E17" s="52">
        <v>1318.18</v>
      </c>
    </row>
    <row r="18" spans="1:5" ht="15.75" customHeight="1">
      <c r="A18" s="51">
        <v>17</v>
      </c>
      <c r="B18" s="26"/>
      <c r="C18" s="26" t="s">
        <v>34</v>
      </c>
      <c r="D18" s="109" t="s">
        <v>43</v>
      </c>
      <c r="E18" s="52">
        <v>1636.36</v>
      </c>
    </row>
    <row r="19" spans="1:5" ht="15.75" customHeight="1">
      <c r="A19" s="51">
        <v>18</v>
      </c>
      <c r="B19" s="26"/>
      <c r="C19" s="26" t="s">
        <v>50</v>
      </c>
      <c r="D19" s="26" t="s">
        <v>52</v>
      </c>
      <c r="E19" s="6">
        <v>2250</v>
      </c>
    </row>
    <row r="20" spans="1:5" ht="15.75" customHeight="1">
      <c r="A20" s="51">
        <v>19</v>
      </c>
      <c r="B20" s="26"/>
      <c r="C20" s="26" t="s">
        <v>50</v>
      </c>
      <c r="D20" s="26" t="s">
        <v>51</v>
      </c>
      <c r="E20" s="6">
        <v>2000</v>
      </c>
    </row>
    <row r="21" spans="1:5" ht="15.75" customHeight="1">
      <c r="A21" s="51">
        <v>20</v>
      </c>
      <c r="B21" s="26"/>
      <c r="C21" s="26" t="s">
        <v>59</v>
      </c>
      <c r="D21" s="26" t="s">
        <v>60</v>
      </c>
      <c r="E21" s="52">
        <v>1800</v>
      </c>
    </row>
    <row r="22" spans="1:5" ht="15.75" customHeight="1">
      <c r="A22" s="51">
        <v>21</v>
      </c>
      <c r="B22" s="26"/>
      <c r="C22" s="26" t="s">
        <v>61</v>
      </c>
      <c r="D22" s="26" t="s">
        <v>187</v>
      </c>
      <c r="E22" s="52">
        <f>2000+213</f>
        <v>2213</v>
      </c>
    </row>
    <row r="23" spans="1:5" ht="15.75" customHeight="1">
      <c r="A23" s="51">
        <v>22</v>
      </c>
      <c r="B23" s="26"/>
      <c r="C23" s="26" t="s">
        <v>61</v>
      </c>
      <c r="D23" s="26" t="s">
        <v>145</v>
      </c>
      <c r="E23" s="52">
        <f t="shared" ref="E23:E25" si="1">2100+213</f>
        <v>2313</v>
      </c>
    </row>
    <row r="24" spans="1:5" ht="15.75" customHeight="1">
      <c r="A24" s="51">
        <v>23</v>
      </c>
      <c r="B24" s="26"/>
      <c r="C24" s="26" t="s">
        <v>61</v>
      </c>
      <c r="D24" s="55" t="s">
        <v>67</v>
      </c>
      <c r="E24" s="52">
        <f t="shared" si="1"/>
        <v>2313</v>
      </c>
    </row>
    <row r="25" spans="1:5" ht="15.75" customHeight="1">
      <c r="A25" s="51">
        <v>24</v>
      </c>
      <c r="B25" s="26"/>
      <c r="C25" s="26" t="s">
        <v>61</v>
      </c>
      <c r="D25" s="55" t="s">
        <v>68</v>
      </c>
      <c r="E25" s="52">
        <f t="shared" si="1"/>
        <v>2313</v>
      </c>
    </row>
    <row r="26" spans="1:5" ht="15.75" customHeight="1">
      <c r="A26" s="51">
        <v>25</v>
      </c>
      <c r="B26" s="26"/>
      <c r="C26" s="26" t="s">
        <v>61</v>
      </c>
      <c r="D26" s="55" t="s">
        <v>69</v>
      </c>
      <c r="E26" s="52">
        <f>1909.09+213</f>
        <v>2122.09</v>
      </c>
    </row>
    <row r="27" spans="1:5" ht="15.75" customHeight="1">
      <c r="A27" s="51">
        <v>26</v>
      </c>
      <c r="B27" s="26"/>
      <c r="C27" s="26" t="s">
        <v>61</v>
      </c>
      <c r="D27" s="55" t="s">
        <v>146</v>
      </c>
      <c r="E27" s="52">
        <f>2000+213</f>
        <v>2213</v>
      </c>
    </row>
    <row r="28" spans="1:5" ht="15.75" customHeight="1">
      <c r="A28" s="51">
        <v>27</v>
      </c>
      <c r="B28" s="26"/>
      <c r="C28" s="26" t="s">
        <v>61</v>
      </c>
      <c r="D28" s="55" t="s">
        <v>308</v>
      </c>
      <c r="E28" s="52">
        <f>1727.27+213</f>
        <v>1940.27</v>
      </c>
    </row>
    <row r="29" spans="1:5" ht="15.75" customHeight="1">
      <c r="A29" s="51">
        <v>28</v>
      </c>
      <c r="B29" s="26"/>
      <c r="C29" s="26" t="s">
        <v>76</v>
      </c>
      <c r="D29" s="55" t="s">
        <v>77</v>
      </c>
      <c r="E29" s="70">
        <v>1800</v>
      </c>
    </row>
    <row r="30" spans="1:5" ht="15.75" customHeight="1">
      <c r="A30" s="51">
        <v>29</v>
      </c>
      <c r="B30" s="26"/>
      <c r="C30" s="26" t="s">
        <v>148</v>
      </c>
      <c r="D30" s="55" t="s">
        <v>89</v>
      </c>
      <c r="E30" s="70">
        <v>1800</v>
      </c>
    </row>
    <row r="31" spans="1:5" ht="15.75" customHeight="1">
      <c r="A31" s="51">
        <v>30</v>
      </c>
      <c r="B31" s="26"/>
      <c r="C31" s="26"/>
      <c r="D31" s="55" t="s">
        <v>206</v>
      </c>
      <c r="E31" s="70">
        <v>1800</v>
      </c>
    </row>
    <row r="32" spans="1:5" ht="15.75" customHeight="1">
      <c r="A32" s="51">
        <v>31</v>
      </c>
      <c r="B32" s="26"/>
      <c r="C32" s="26"/>
      <c r="D32" s="55" t="s">
        <v>210</v>
      </c>
      <c r="E32" s="70">
        <v>1800</v>
      </c>
    </row>
    <row r="33" spans="1:5" ht="15.75" customHeight="1">
      <c r="A33" s="51">
        <v>32</v>
      </c>
      <c r="B33" s="26"/>
      <c r="C33" s="26" t="s">
        <v>151</v>
      </c>
      <c r="D33" s="57" t="s">
        <v>66</v>
      </c>
      <c r="E33" s="52">
        <v>1800</v>
      </c>
    </row>
    <row r="34" spans="1:5" ht="15.75" customHeight="1">
      <c r="A34" s="51">
        <v>33</v>
      </c>
      <c r="B34" s="26"/>
      <c r="C34" s="26" t="s">
        <v>152</v>
      </c>
      <c r="D34" s="55" t="s">
        <v>153</v>
      </c>
      <c r="E34" s="52">
        <v>1650</v>
      </c>
    </row>
    <row r="35" spans="1:5" ht="15.75" customHeight="1">
      <c r="A35" s="51">
        <v>34</v>
      </c>
      <c r="B35" s="26"/>
      <c r="C35" s="26"/>
      <c r="D35" s="55" t="s">
        <v>154</v>
      </c>
      <c r="E35" s="52">
        <v>1650</v>
      </c>
    </row>
    <row r="36" spans="1:5" ht="15.75" customHeight="1">
      <c r="A36" s="51">
        <v>35</v>
      </c>
      <c r="B36" s="26"/>
      <c r="C36" s="26"/>
      <c r="D36" s="55" t="s">
        <v>155</v>
      </c>
      <c r="E36" s="52">
        <v>1650</v>
      </c>
    </row>
    <row r="37" spans="1:5" ht="15.75" customHeight="1">
      <c r="A37" s="51">
        <v>36</v>
      </c>
      <c r="B37" s="26"/>
      <c r="C37" s="26" t="s">
        <v>156</v>
      </c>
      <c r="D37" s="55" t="s">
        <v>157</v>
      </c>
      <c r="E37" s="6">
        <v>2650</v>
      </c>
    </row>
    <row r="38" spans="1:5" ht="15.75" customHeight="1">
      <c r="A38" s="51">
        <v>37</v>
      </c>
      <c r="B38" s="26"/>
      <c r="C38" s="26"/>
      <c r="D38" s="55" t="s">
        <v>158</v>
      </c>
      <c r="E38" s="6">
        <v>2650</v>
      </c>
    </row>
    <row r="39" spans="1:5" ht="15.75" customHeight="1">
      <c r="A39" s="51">
        <v>38</v>
      </c>
      <c r="B39" s="26"/>
      <c r="C39" s="26"/>
      <c r="D39" s="55" t="s">
        <v>207</v>
      </c>
      <c r="E39" s="6">
        <v>2650</v>
      </c>
    </row>
    <row r="40" spans="1:5" ht="15.75" customHeight="1">
      <c r="A40" s="51">
        <v>39</v>
      </c>
      <c r="B40" s="26"/>
      <c r="C40" s="26"/>
      <c r="D40" s="55" t="s">
        <v>81</v>
      </c>
      <c r="E40" s="6">
        <v>2650</v>
      </c>
    </row>
    <row r="41" spans="1:5" ht="15.75" customHeight="1">
      <c r="A41" s="51">
        <v>40</v>
      </c>
      <c r="B41" s="26"/>
      <c r="C41" s="26"/>
      <c r="D41" s="55" t="s">
        <v>208</v>
      </c>
      <c r="E41" s="6">
        <v>2650</v>
      </c>
    </row>
    <row r="42" spans="1:5" ht="15.75" customHeight="1">
      <c r="A42" s="51">
        <v>41</v>
      </c>
      <c r="B42" s="26"/>
      <c r="C42" s="26" t="s">
        <v>161</v>
      </c>
      <c r="D42" s="55" t="s">
        <v>211</v>
      </c>
      <c r="E42" s="6">
        <v>1445.45</v>
      </c>
    </row>
    <row r="43" spans="1:5" ht="15.75" customHeight="1">
      <c r="A43" s="51">
        <v>42</v>
      </c>
      <c r="B43" s="26"/>
      <c r="C43" s="26" t="s">
        <v>57</v>
      </c>
      <c r="D43" s="26" t="s">
        <v>58</v>
      </c>
      <c r="E43" s="6">
        <v>3200</v>
      </c>
    </row>
    <row r="44" spans="1:5" ht="15.75" customHeight="1">
      <c r="A44" s="51">
        <v>43</v>
      </c>
      <c r="B44" s="26"/>
      <c r="C44" s="26" t="s">
        <v>53</v>
      </c>
      <c r="D44" s="55" t="s">
        <v>54</v>
      </c>
      <c r="E44" s="6">
        <f>4900-578</f>
        <v>4322</v>
      </c>
    </row>
    <row r="45" spans="1:5" ht="15.75" customHeight="1">
      <c r="A45" s="51">
        <v>44</v>
      </c>
      <c r="B45" s="26"/>
      <c r="C45" s="26"/>
      <c r="D45" s="55" t="s">
        <v>55</v>
      </c>
      <c r="E45" s="6">
        <f>6482-578</f>
        <v>5904</v>
      </c>
    </row>
    <row r="46" spans="1:5" ht="15.75" customHeight="1">
      <c r="A46" s="51">
        <v>45</v>
      </c>
      <c r="B46" s="26"/>
      <c r="C46" s="26"/>
      <c r="D46" s="55" t="s">
        <v>164</v>
      </c>
      <c r="E46" s="6">
        <f>5100-579</f>
        <v>4521</v>
      </c>
    </row>
    <row r="47" spans="1:5" ht="15.75" customHeight="1">
      <c r="A47" s="51">
        <v>46</v>
      </c>
      <c r="B47" s="26"/>
      <c r="C47" s="26" t="s">
        <v>70</v>
      </c>
      <c r="D47" s="63" t="s">
        <v>71</v>
      </c>
      <c r="E47" s="6">
        <v>1649.44</v>
      </c>
    </row>
    <row r="48" spans="1:5" ht="15.75" customHeight="1">
      <c r="A48" s="71"/>
      <c r="B48" s="72"/>
      <c r="C48" s="72"/>
      <c r="D48" s="73"/>
      <c r="E48" s="74"/>
    </row>
    <row r="49" spans="1:7" ht="15.75" customHeight="1">
      <c r="A49" s="32"/>
      <c r="D49" s="32"/>
    </row>
    <row r="50" spans="1:7" ht="15.75" customHeight="1">
      <c r="C50" s="35"/>
      <c r="D50" s="32"/>
    </row>
    <row r="51" spans="1:7" ht="15.75" customHeight="1">
      <c r="D51" s="29"/>
      <c r="E51" s="29"/>
    </row>
    <row r="52" spans="1:7" ht="13">
      <c r="D52" s="32"/>
    </row>
    <row r="53" spans="1:7" ht="13">
      <c r="D53" s="32"/>
    </row>
    <row r="54" spans="1:7" ht="13">
      <c r="D54" s="32"/>
    </row>
    <row r="55" spans="1:7" ht="13">
      <c r="D55" s="32"/>
    </row>
    <row r="56" spans="1:7" ht="13">
      <c r="D56" s="32"/>
    </row>
    <row r="57" spans="1:7" ht="13">
      <c r="D57" s="32"/>
    </row>
    <row r="58" spans="1:7" ht="13">
      <c r="D58" s="32"/>
    </row>
    <row r="59" spans="1:7" ht="16">
      <c r="A59" s="15"/>
      <c r="B59" s="15"/>
      <c r="C59" s="15"/>
      <c r="D59" s="29"/>
      <c r="E59" s="15"/>
    </row>
    <row r="60" spans="1:7" ht="16">
      <c r="A60" s="29"/>
      <c r="B60" s="29"/>
      <c r="C60" s="29"/>
      <c r="D60" s="32"/>
      <c r="F60" s="32"/>
      <c r="G60" s="32"/>
    </row>
    <row r="61" spans="1:7" ht="13">
      <c r="D61" s="32"/>
    </row>
    <row r="62" spans="1:7" ht="13">
      <c r="D62" s="32"/>
    </row>
    <row r="63" spans="1:7" ht="13">
      <c r="D63" s="32"/>
    </row>
    <row r="64" spans="1:7" ht="13">
      <c r="D64" s="32"/>
    </row>
    <row r="65" spans="4:4" ht="13">
      <c r="D65" s="32"/>
    </row>
    <row r="66" spans="4:4" ht="13">
      <c r="D66" s="32"/>
    </row>
    <row r="67" spans="4:4" ht="13">
      <c r="D67" s="32"/>
    </row>
    <row r="68" spans="4:4" ht="13">
      <c r="D68" s="32"/>
    </row>
    <row r="69" spans="4:4" ht="13">
      <c r="D69" s="32"/>
    </row>
    <row r="70" spans="4:4" ht="13">
      <c r="D70" s="32"/>
    </row>
    <row r="71" spans="4:4" ht="13">
      <c r="D71" s="32"/>
    </row>
    <row r="72" spans="4:4" ht="13">
      <c r="D72" s="32"/>
    </row>
    <row r="73" spans="4:4" ht="13">
      <c r="D73" s="32"/>
    </row>
    <row r="74" spans="4:4" ht="13">
      <c r="D74" s="32"/>
    </row>
    <row r="75" spans="4:4" ht="13">
      <c r="D75" s="32"/>
    </row>
    <row r="76" spans="4:4" ht="13">
      <c r="D76" s="32"/>
    </row>
    <row r="77" spans="4:4" ht="13">
      <c r="D77" s="32"/>
    </row>
    <row r="78" spans="4:4" ht="13">
      <c r="D78" s="32"/>
    </row>
    <row r="79" spans="4:4" ht="13">
      <c r="D79" s="32"/>
    </row>
    <row r="80" spans="4:4" ht="13">
      <c r="D80" s="32"/>
    </row>
    <row r="81" spans="4:4" ht="13">
      <c r="D81" s="32"/>
    </row>
    <row r="82" spans="4:4" ht="13">
      <c r="D82" s="32"/>
    </row>
    <row r="83" spans="4:4" ht="13">
      <c r="D83" s="32"/>
    </row>
    <row r="84" spans="4:4" ht="13">
      <c r="D84" s="32"/>
    </row>
    <row r="85" spans="4:4" ht="13">
      <c r="D85" s="32"/>
    </row>
    <row r="86" spans="4:4" ht="13">
      <c r="D86" s="32"/>
    </row>
    <row r="87" spans="4:4" ht="13">
      <c r="D87" s="32"/>
    </row>
    <row r="88" spans="4:4" ht="13">
      <c r="D88" s="32"/>
    </row>
    <row r="89" spans="4:4" ht="13">
      <c r="D89" s="32"/>
    </row>
    <row r="90" spans="4:4" ht="13">
      <c r="D90" s="32"/>
    </row>
    <row r="91" spans="4:4" ht="13">
      <c r="D91" s="32"/>
    </row>
    <row r="92" spans="4:4" ht="13">
      <c r="D92" s="32"/>
    </row>
    <row r="93" spans="4:4" ht="13">
      <c r="D93" s="32"/>
    </row>
    <row r="94" spans="4:4" ht="13">
      <c r="D94" s="32"/>
    </row>
    <row r="95" spans="4:4" ht="13">
      <c r="D95" s="32"/>
    </row>
    <row r="96" spans="4:4" ht="13">
      <c r="D96" s="32"/>
    </row>
    <row r="97" spans="4:4" ht="13">
      <c r="D97" s="32"/>
    </row>
    <row r="98" spans="4:4" ht="13">
      <c r="D98" s="32"/>
    </row>
    <row r="99" spans="4:4" ht="13">
      <c r="D99" s="32"/>
    </row>
    <row r="100" spans="4:4" ht="13">
      <c r="D100" s="32"/>
    </row>
    <row r="101" spans="4:4" ht="13">
      <c r="D101" s="32"/>
    </row>
    <row r="102" spans="4:4" ht="13">
      <c r="D102" s="32"/>
    </row>
    <row r="103" spans="4:4" ht="13">
      <c r="D103" s="32"/>
    </row>
    <row r="104" spans="4:4" ht="13">
      <c r="D104" s="32"/>
    </row>
    <row r="105" spans="4:4" ht="13">
      <c r="D105" s="32"/>
    </row>
    <row r="106" spans="4:4" ht="13">
      <c r="D106" s="32"/>
    </row>
    <row r="107" spans="4:4" ht="13">
      <c r="D107" s="32"/>
    </row>
    <row r="108" spans="4:4" ht="13">
      <c r="D108" s="32"/>
    </row>
    <row r="109" spans="4:4" ht="13">
      <c r="D109" s="32"/>
    </row>
    <row r="110" spans="4:4" ht="13">
      <c r="D110" s="32"/>
    </row>
    <row r="111" spans="4:4" ht="13">
      <c r="D111" s="32"/>
    </row>
    <row r="112" spans="4:4" ht="13">
      <c r="D112" s="32"/>
    </row>
    <row r="113" spans="4:4" ht="13">
      <c r="D113" s="32"/>
    </row>
    <row r="114" spans="4:4" ht="13">
      <c r="D114" s="32"/>
    </row>
    <row r="115" spans="4:4" ht="13">
      <c r="D115" s="32"/>
    </row>
    <row r="116" spans="4:4" ht="13">
      <c r="D116" s="32"/>
    </row>
    <row r="117" spans="4:4" ht="13">
      <c r="D117" s="32"/>
    </row>
    <row r="118" spans="4:4" ht="13">
      <c r="D118" s="32"/>
    </row>
    <row r="119" spans="4:4" ht="13">
      <c r="D119" s="32"/>
    </row>
    <row r="120" spans="4:4" ht="13">
      <c r="D120" s="32"/>
    </row>
    <row r="121" spans="4:4" ht="13">
      <c r="D121" s="32"/>
    </row>
    <row r="122" spans="4:4" ht="13">
      <c r="D122" s="32"/>
    </row>
    <row r="123" spans="4:4" ht="13">
      <c r="D123" s="32"/>
    </row>
    <row r="124" spans="4:4" ht="13">
      <c r="D124" s="32"/>
    </row>
    <row r="125" spans="4:4" ht="13">
      <c r="D125" s="32"/>
    </row>
    <row r="126" spans="4:4" ht="13">
      <c r="D126" s="32"/>
    </row>
    <row r="127" spans="4:4" ht="13">
      <c r="D127" s="32"/>
    </row>
    <row r="128" spans="4:4" ht="13">
      <c r="D128" s="32"/>
    </row>
    <row r="129" spans="4:4" ht="13">
      <c r="D129" s="32"/>
    </row>
    <row r="130" spans="4:4" ht="13">
      <c r="D130" s="32"/>
    </row>
    <row r="131" spans="4:4" ht="13">
      <c r="D131" s="32"/>
    </row>
    <row r="132" spans="4:4" ht="13">
      <c r="D132" s="32"/>
    </row>
    <row r="133" spans="4:4" ht="13">
      <c r="D133" s="32"/>
    </row>
    <row r="134" spans="4:4" ht="13">
      <c r="D134" s="32"/>
    </row>
    <row r="135" spans="4:4" ht="13">
      <c r="D135" s="32"/>
    </row>
    <row r="136" spans="4:4" ht="13">
      <c r="D136" s="32"/>
    </row>
    <row r="137" spans="4:4" ht="13">
      <c r="D137" s="32"/>
    </row>
    <row r="138" spans="4:4" ht="13">
      <c r="D138" s="32"/>
    </row>
    <row r="139" spans="4:4" ht="13">
      <c r="D139" s="32"/>
    </row>
    <row r="140" spans="4:4" ht="13">
      <c r="D140" s="32"/>
    </row>
    <row r="141" spans="4:4" ht="13">
      <c r="D141" s="32"/>
    </row>
    <row r="142" spans="4:4" ht="13">
      <c r="D142" s="32"/>
    </row>
    <row r="143" spans="4:4" ht="13">
      <c r="D143" s="32"/>
    </row>
    <row r="144" spans="4:4" ht="13">
      <c r="D144" s="32"/>
    </row>
    <row r="145" spans="4:4" ht="13">
      <c r="D145" s="32"/>
    </row>
    <row r="146" spans="4:4" ht="13">
      <c r="D146" s="32"/>
    </row>
    <row r="147" spans="4:4" ht="13">
      <c r="D147" s="32"/>
    </row>
    <row r="148" spans="4:4" ht="13">
      <c r="D148" s="32"/>
    </row>
    <row r="149" spans="4:4" ht="13">
      <c r="D149" s="32"/>
    </row>
    <row r="150" spans="4:4" ht="13">
      <c r="D150" s="32"/>
    </row>
    <row r="151" spans="4:4" ht="13">
      <c r="D151" s="32"/>
    </row>
    <row r="152" spans="4:4" ht="13">
      <c r="D152" s="32"/>
    </row>
    <row r="153" spans="4:4" ht="13">
      <c r="D153" s="32"/>
    </row>
    <row r="154" spans="4:4" ht="13">
      <c r="D154" s="32"/>
    </row>
    <row r="155" spans="4:4" ht="13">
      <c r="D155" s="32"/>
    </row>
    <row r="156" spans="4:4" ht="13">
      <c r="D156" s="32"/>
    </row>
    <row r="157" spans="4:4" ht="13">
      <c r="D157" s="32"/>
    </row>
    <row r="158" spans="4:4" ht="13">
      <c r="D158" s="32"/>
    </row>
    <row r="159" spans="4:4" ht="13">
      <c r="D159" s="32"/>
    </row>
    <row r="160" spans="4:4" ht="13">
      <c r="D160" s="32"/>
    </row>
    <row r="161" spans="4:4" ht="13">
      <c r="D161" s="32"/>
    </row>
    <row r="162" spans="4:4" ht="13">
      <c r="D162" s="32"/>
    </row>
    <row r="163" spans="4:4" ht="13">
      <c r="D163" s="32"/>
    </row>
    <row r="164" spans="4:4" ht="13">
      <c r="D164" s="32"/>
    </row>
    <row r="165" spans="4:4" ht="13">
      <c r="D165" s="32"/>
    </row>
    <row r="166" spans="4:4" ht="13">
      <c r="D166" s="32"/>
    </row>
    <row r="167" spans="4:4" ht="13">
      <c r="D167" s="32"/>
    </row>
    <row r="168" spans="4:4" ht="13">
      <c r="D168" s="32"/>
    </row>
    <row r="169" spans="4:4" ht="13">
      <c r="D169" s="32"/>
    </row>
    <row r="170" spans="4:4" ht="13">
      <c r="D170" s="32"/>
    </row>
    <row r="171" spans="4:4" ht="13">
      <c r="D171" s="32"/>
    </row>
    <row r="172" spans="4:4" ht="13">
      <c r="D172" s="32"/>
    </row>
    <row r="173" spans="4:4" ht="13">
      <c r="D173" s="32"/>
    </row>
    <row r="174" spans="4:4" ht="13">
      <c r="D174" s="32"/>
    </row>
    <row r="175" spans="4:4" ht="13">
      <c r="D175" s="32"/>
    </row>
    <row r="176" spans="4:4" ht="13">
      <c r="D176" s="32"/>
    </row>
    <row r="177" spans="4:4" ht="13">
      <c r="D177" s="32"/>
    </row>
    <row r="178" spans="4:4" ht="13">
      <c r="D178" s="32"/>
    </row>
    <row r="179" spans="4:4" ht="13">
      <c r="D179" s="32"/>
    </row>
    <row r="180" spans="4:4" ht="13">
      <c r="D180" s="32"/>
    </row>
    <row r="181" spans="4:4" ht="13">
      <c r="D181" s="32"/>
    </row>
    <row r="182" spans="4:4" ht="13">
      <c r="D182" s="32"/>
    </row>
    <row r="183" spans="4:4" ht="13">
      <c r="D183" s="32"/>
    </row>
    <row r="184" spans="4:4" ht="13">
      <c r="D184" s="32"/>
    </row>
    <row r="185" spans="4:4" ht="13">
      <c r="D185" s="32"/>
    </row>
    <row r="186" spans="4:4" ht="13">
      <c r="D186" s="32"/>
    </row>
    <row r="187" spans="4:4" ht="13">
      <c r="D187" s="32"/>
    </row>
    <row r="188" spans="4:4" ht="13">
      <c r="D188" s="32"/>
    </row>
    <row r="189" spans="4:4" ht="13">
      <c r="D189" s="32"/>
    </row>
    <row r="190" spans="4:4" ht="13">
      <c r="D190" s="32"/>
    </row>
    <row r="191" spans="4:4" ht="13">
      <c r="D191" s="32"/>
    </row>
    <row r="192" spans="4:4" ht="13">
      <c r="D192" s="32"/>
    </row>
    <row r="193" spans="4:4" ht="13">
      <c r="D193" s="32"/>
    </row>
    <row r="194" spans="4:4" ht="13">
      <c r="D194" s="32"/>
    </row>
    <row r="195" spans="4:4" ht="13">
      <c r="D195" s="32"/>
    </row>
    <row r="196" spans="4:4" ht="13">
      <c r="D196" s="32"/>
    </row>
    <row r="197" spans="4:4" ht="13">
      <c r="D197" s="32"/>
    </row>
    <row r="198" spans="4:4" ht="13">
      <c r="D198" s="32"/>
    </row>
    <row r="199" spans="4:4" ht="13">
      <c r="D199" s="32"/>
    </row>
    <row r="200" spans="4:4" ht="13">
      <c r="D200" s="32"/>
    </row>
    <row r="201" spans="4:4" ht="13">
      <c r="D201" s="32"/>
    </row>
    <row r="202" spans="4:4" ht="13">
      <c r="D202" s="32"/>
    </row>
    <row r="203" spans="4:4" ht="13">
      <c r="D203" s="32"/>
    </row>
    <row r="204" spans="4:4" ht="13">
      <c r="D204" s="32"/>
    </row>
    <row r="205" spans="4:4" ht="13">
      <c r="D205" s="32"/>
    </row>
    <row r="206" spans="4:4" ht="13">
      <c r="D206" s="32"/>
    </row>
    <row r="207" spans="4:4" ht="13">
      <c r="D207" s="32"/>
    </row>
    <row r="208" spans="4:4" ht="13">
      <c r="D208" s="32"/>
    </row>
    <row r="209" spans="4:4" ht="13">
      <c r="D209" s="32"/>
    </row>
    <row r="210" spans="4:4" ht="13">
      <c r="D210" s="32"/>
    </row>
    <row r="211" spans="4:4" ht="13">
      <c r="D211" s="32"/>
    </row>
    <row r="212" spans="4:4" ht="13">
      <c r="D212" s="32"/>
    </row>
    <row r="213" spans="4:4" ht="13">
      <c r="D213" s="32"/>
    </row>
    <row r="214" spans="4:4" ht="13">
      <c r="D214" s="32"/>
    </row>
    <row r="215" spans="4:4" ht="13">
      <c r="D215" s="32"/>
    </row>
    <row r="216" spans="4:4" ht="13">
      <c r="D216" s="32"/>
    </row>
    <row r="217" spans="4:4" ht="13">
      <c r="D217" s="32"/>
    </row>
    <row r="218" spans="4:4" ht="13">
      <c r="D218" s="32"/>
    </row>
    <row r="219" spans="4:4" ht="13">
      <c r="D219" s="32"/>
    </row>
    <row r="220" spans="4:4" ht="13">
      <c r="D220" s="32"/>
    </row>
    <row r="221" spans="4:4" ht="13">
      <c r="D221" s="32"/>
    </row>
    <row r="222" spans="4:4" ht="13">
      <c r="D222" s="32"/>
    </row>
    <row r="223" spans="4:4" ht="13">
      <c r="D223" s="32"/>
    </row>
    <row r="224" spans="4:4" ht="13">
      <c r="D224" s="32"/>
    </row>
    <row r="225" spans="4:4" ht="13">
      <c r="D225" s="32"/>
    </row>
    <row r="226" spans="4:4" ht="13">
      <c r="D226" s="32"/>
    </row>
    <row r="227" spans="4:4" ht="13">
      <c r="D227" s="32"/>
    </row>
    <row r="228" spans="4:4" ht="13">
      <c r="D228" s="32"/>
    </row>
    <row r="229" spans="4:4" ht="13">
      <c r="D229" s="32"/>
    </row>
    <row r="230" spans="4:4" ht="13">
      <c r="D230" s="32"/>
    </row>
    <row r="231" spans="4:4" ht="13">
      <c r="D231" s="32"/>
    </row>
    <row r="232" spans="4:4" ht="13">
      <c r="D232" s="32"/>
    </row>
    <row r="233" spans="4:4" ht="13">
      <c r="D233" s="32"/>
    </row>
    <row r="234" spans="4:4" ht="13">
      <c r="D234" s="32"/>
    </row>
    <row r="235" spans="4:4" ht="13">
      <c r="D235" s="32"/>
    </row>
    <row r="236" spans="4:4" ht="13">
      <c r="D236" s="32"/>
    </row>
    <row r="237" spans="4:4" ht="13">
      <c r="D237" s="32"/>
    </row>
    <row r="238" spans="4:4" ht="13">
      <c r="D238" s="32"/>
    </row>
    <row r="239" spans="4:4" ht="13">
      <c r="D239" s="32"/>
    </row>
    <row r="240" spans="4:4" ht="13">
      <c r="D240" s="32"/>
    </row>
    <row r="241" spans="4:4" ht="13">
      <c r="D241" s="32"/>
    </row>
    <row r="242" spans="4:4" ht="13">
      <c r="D242" s="32"/>
    </row>
    <row r="243" spans="4:4" ht="13">
      <c r="D243" s="32"/>
    </row>
    <row r="244" spans="4:4" ht="13">
      <c r="D244" s="32"/>
    </row>
    <row r="245" spans="4:4" ht="13">
      <c r="D245" s="32"/>
    </row>
    <row r="246" spans="4:4" ht="13">
      <c r="D246" s="32"/>
    </row>
    <row r="247" spans="4:4" ht="13">
      <c r="D247" s="32"/>
    </row>
    <row r="248" spans="4:4" ht="13">
      <c r="D248" s="32"/>
    </row>
    <row r="249" spans="4:4" ht="13">
      <c r="D249" s="32"/>
    </row>
    <row r="250" spans="4:4" ht="13">
      <c r="D250" s="32"/>
    </row>
    <row r="251" spans="4:4" ht="13">
      <c r="D251" s="32"/>
    </row>
    <row r="252" spans="4:4" ht="13">
      <c r="D252" s="32"/>
    </row>
    <row r="253" spans="4:4" ht="13">
      <c r="D253" s="32"/>
    </row>
    <row r="254" spans="4:4" ht="13">
      <c r="D254" s="32"/>
    </row>
    <row r="255" spans="4:4" ht="13">
      <c r="D255" s="32"/>
    </row>
    <row r="256" spans="4:4" ht="13">
      <c r="D256" s="32"/>
    </row>
    <row r="257" spans="4:4" ht="13">
      <c r="D257" s="32"/>
    </row>
    <row r="258" spans="4:4" ht="13">
      <c r="D258" s="32"/>
    </row>
    <row r="259" spans="4:4" ht="13">
      <c r="D259" s="32"/>
    </row>
    <row r="260" spans="4:4" ht="13">
      <c r="D260" s="32"/>
    </row>
    <row r="261" spans="4:4" ht="13">
      <c r="D261" s="32"/>
    </row>
    <row r="262" spans="4:4" ht="13">
      <c r="D262" s="32"/>
    </row>
    <row r="263" spans="4:4" ht="13">
      <c r="D263" s="32"/>
    </row>
    <row r="264" spans="4:4" ht="13">
      <c r="D264" s="32"/>
    </row>
    <row r="265" spans="4:4" ht="13">
      <c r="D265" s="32"/>
    </row>
    <row r="266" spans="4:4" ht="13">
      <c r="D266" s="32"/>
    </row>
    <row r="267" spans="4:4" ht="13">
      <c r="D267" s="32"/>
    </row>
    <row r="268" spans="4:4" ht="13">
      <c r="D268" s="32"/>
    </row>
    <row r="269" spans="4:4" ht="13">
      <c r="D269" s="32"/>
    </row>
    <row r="270" spans="4:4" ht="13">
      <c r="D270" s="32"/>
    </row>
    <row r="271" spans="4:4" ht="13">
      <c r="D271" s="32"/>
    </row>
    <row r="272" spans="4:4" ht="13">
      <c r="D272" s="32"/>
    </row>
    <row r="273" spans="4:4" ht="13">
      <c r="D273" s="32"/>
    </row>
    <row r="274" spans="4:4" ht="13">
      <c r="D274" s="32"/>
    </row>
    <row r="275" spans="4:4" ht="13">
      <c r="D275" s="32"/>
    </row>
    <row r="276" spans="4:4" ht="13">
      <c r="D276" s="32"/>
    </row>
    <row r="277" spans="4:4" ht="13">
      <c r="D277" s="32"/>
    </row>
    <row r="278" spans="4:4" ht="13">
      <c r="D278" s="32"/>
    </row>
    <row r="279" spans="4:4" ht="13">
      <c r="D279" s="32"/>
    </row>
    <row r="280" spans="4:4" ht="13">
      <c r="D280" s="32"/>
    </row>
    <row r="281" spans="4:4" ht="13">
      <c r="D281" s="32"/>
    </row>
    <row r="282" spans="4:4" ht="13">
      <c r="D282" s="32"/>
    </row>
    <row r="283" spans="4:4" ht="13">
      <c r="D283" s="32"/>
    </row>
    <row r="284" spans="4:4" ht="13">
      <c r="D284" s="32"/>
    </row>
    <row r="285" spans="4:4" ht="13">
      <c r="D285" s="32"/>
    </row>
    <row r="286" spans="4:4" ht="13">
      <c r="D286" s="32"/>
    </row>
    <row r="287" spans="4:4" ht="13">
      <c r="D287" s="32"/>
    </row>
    <row r="288" spans="4:4" ht="13">
      <c r="D288" s="32"/>
    </row>
    <row r="289" spans="4:4" ht="13">
      <c r="D289" s="32"/>
    </row>
    <row r="290" spans="4:4" ht="13">
      <c r="D290" s="32"/>
    </row>
    <row r="291" spans="4:4" ht="13">
      <c r="D291" s="32"/>
    </row>
    <row r="292" spans="4:4" ht="13">
      <c r="D292" s="32"/>
    </row>
    <row r="293" spans="4:4" ht="13">
      <c r="D293" s="32"/>
    </row>
    <row r="294" spans="4:4" ht="13">
      <c r="D294" s="32"/>
    </row>
    <row r="295" spans="4:4" ht="13">
      <c r="D295" s="32"/>
    </row>
    <row r="296" spans="4:4" ht="13">
      <c r="D296" s="32"/>
    </row>
    <row r="297" spans="4:4" ht="13">
      <c r="D297" s="32"/>
    </row>
    <row r="298" spans="4:4" ht="13">
      <c r="D298" s="32"/>
    </row>
    <row r="299" spans="4:4" ht="13">
      <c r="D299" s="32"/>
    </row>
    <row r="300" spans="4:4" ht="13">
      <c r="D300" s="32"/>
    </row>
    <row r="301" spans="4:4" ht="13">
      <c r="D301" s="32"/>
    </row>
    <row r="302" spans="4:4" ht="13">
      <c r="D302" s="32"/>
    </row>
    <row r="303" spans="4:4" ht="13">
      <c r="D303" s="32"/>
    </row>
    <row r="304" spans="4:4" ht="13">
      <c r="D304" s="32"/>
    </row>
    <row r="305" spans="4:4" ht="13">
      <c r="D305" s="32"/>
    </row>
    <row r="306" spans="4:4" ht="13">
      <c r="D306" s="32"/>
    </row>
    <row r="307" spans="4:4" ht="13">
      <c r="D307" s="32"/>
    </row>
    <row r="308" spans="4:4" ht="13">
      <c r="D308" s="32"/>
    </row>
    <row r="309" spans="4:4" ht="13">
      <c r="D309" s="32"/>
    </row>
    <row r="310" spans="4:4" ht="13">
      <c r="D310" s="32"/>
    </row>
    <row r="311" spans="4:4" ht="13">
      <c r="D311" s="32"/>
    </row>
    <row r="312" spans="4:4" ht="13">
      <c r="D312" s="32"/>
    </row>
    <row r="313" spans="4:4" ht="13">
      <c r="D313" s="32"/>
    </row>
    <row r="314" spans="4:4" ht="13">
      <c r="D314" s="32"/>
    </row>
    <row r="315" spans="4:4" ht="13">
      <c r="D315" s="32"/>
    </row>
    <row r="316" spans="4:4" ht="13">
      <c r="D316" s="32"/>
    </row>
    <row r="317" spans="4:4" ht="13">
      <c r="D317" s="32"/>
    </row>
    <row r="318" spans="4:4" ht="13">
      <c r="D318" s="32"/>
    </row>
    <row r="319" spans="4:4" ht="13">
      <c r="D319" s="32"/>
    </row>
    <row r="320" spans="4:4" ht="13">
      <c r="D320" s="32"/>
    </row>
    <row r="321" spans="4:4" ht="13">
      <c r="D321" s="32"/>
    </row>
    <row r="322" spans="4:4" ht="13">
      <c r="D322" s="32"/>
    </row>
    <row r="323" spans="4:4" ht="13">
      <c r="D323" s="32"/>
    </row>
    <row r="324" spans="4:4" ht="13">
      <c r="D324" s="32"/>
    </row>
    <row r="325" spans="4:4" ht="13">
      <c r="D325" s="32"/>
    </row>
    <row r="326" spans="4:4" ht="13">
      <c r="D326" s="32"/>
    </row>
    <row r="327" spans="4:4" ht="13">
      <c r="D327" s="32"/>
    </row>
    <row r="328" spans="4:4" ht="13">
      <c r="D328" s="32"/>
    </row>
    <row r="329" spans="4:4" ht="13">
      <c r="D329" s="32"/>
    </row>
    <row r="330" spans="4:4" ht="13">
      <c r="D330" s="32"/>
    </row>
    <row r="331" spans="4:4" ht="13">
      <c r="D331" s="32"/>
    </row>
    <row r="332" spans="4:4" ht="13">
      <c r="D332" s="32"/>
    </row>
    <row r="333" spans="4:4" ht="13">
      <c r="D333" s="32"/>
    </row>
    <row r="334" spans="4:4" ht="13">
      <c r="D334" s="32"/>
    </row>
    <row r="335" spans="4:4" ht="13">
      <c r="D335" s="32"/>
    </row>
    <row r="336" spans="4:4" ht="13">
      <c r="D336" s="32"/>
    </row>
    <row r="337" spans="4:4" ht="13">
      <c r="D337" s="32"/>
    </row>
    <row r="338" spans="4:4" ht="13">
      <c r="D338" s="32"/>
    </row>
    <row r="339" spans="4:4" ht="13">
      <c r="D339" s="32"/>
    </row>
    <row r="340" spans="4:4" ht="13">
      <c r="D340" s="32"/>
    </row>
    <row r="341" spans="4:4" ht="13">
      <c r="D341" s="32"/>
    </row>
    <row r="342" spans="4:4" ht="13">
      <c r="D342" s="32"/>
    </row>
    <row r="343" spans="4:4" ht="13">
      <c r="D343" s="32"/>
    </row>
    <row r="344" spans="4:4" ht="13">
      <c r="D344" s="32"/>
    </row>
    <row r="345" spans="4:4" ht="13">
      <c r="D345" s="32"/>
    </row>
    <row r="346" spans="4:4" ht="13">
      <c r="D346" s="32"/>
    </row>
    <row r="347" spans="4:4" ht="13">
      <c r="D347" s="32"/>
    </row>
    <row r="348" spans="4:4" ht="13">
      <c r="D348" s="32"/>
    </row>
    <row r="349" spans="4:4" ht="13">
      <c r="D349" s="32"/>
    </row>
    <row r="350" spans="4:4" ht="13">
      <c r="D350" s="32"/>
    </row>
    <row r="351" spans="4:4" ht="13">
      <c r="D351" s="32"/>
    </row>
    <row r="352" spans="4:4" ht="13">
      <c r="D352" s="32"/>
    </row>
    <row r="353" spans="4:4" ht="13">
      <c r="D353" s="32"/>
    </row>
    <row r="354" spans="4:4" ht="13">
      <c r="D354" s="32"/>
    </row>
    <row r="355" spans="4:4" ht="13">
      <c r="D355" s="32"/>
    </row>
    <row r="356" spans="4:4" ht="13">
      <c r="D356" s="32"/>
    </row>
    <row r="357" spans="4:4" ht="13">
      <c r="D357" s="32"/>
    </row>
    <row r="358" spans="4:4" ht="13">
      <c r="D358" s="32"/>
    </row>
    <row r="359" spans="4:4" ht="13">
      <c r="D359" s="32"/>
    </row>
    <row r="360" spans="4:4" ht="13">
      <c r="D360" s="32"/>
    </row>
    <row r="361" spans="4:4" ht="13">
      <c r="D361" s="32"/>
    </row>
    <row r="362" spans="4:4" ht="13">
      <c r="D362" s="32"/>
    </row>
    <row r="363" spans="4:4" ht="13">
      <c r="D363" s="32"/>
    </row>
    <row r="364" spans="4:4" ht="13">
      <c r="D364" s="32"/>
    </row>
    <row r="365" spans="4:4" ht="13">
      <c r="D365" s="32"/>
    </row>
    <row r="366" spans="4:4" ht="13">
      <c r="D366" s="32"/>
    </row>
    <row r="367" spans="4:4" ht="13">
      <c r="D367" s="32"/>
    </row>
    <row r="368" spans="4:4" ht="13">
      <c r="D368" s="32"/>
    </row>
    <row r="369" spans="4:4" ht="13">
      <c r="D369" s="32"/>
    </row>
    <row r="370" spans="4:4" ht="13">
      <c r="D370" s="32"/>
    </row>
    <row r="371" spans="4:4" ht="13">
      <c r="D371" s="32"/>
    </row>
    <row r="372" spans="4:4" ht="13">
      <c r="D372" s="32"/>
    </row>
    <row r="373" spans="4:4" ht="13">
      <c r="D373" s="32"/>
    </row>
    <row r="374" spans="4:4" ht="13">
      <c r="D374" s="32"/>
    </row>
    <row r="375" spans="4:4" ht="13">
      <c r="D375" s="32"/>
    </row>
    <row r="376" spans="4:4" ht="13">
      <c r="D376" s="32"/>
    </row>
    <row r="377" spans="4:4" ht="13">
      <c r="D377" s="32"/>
    </row>
    <row r="378" spans="4:4" ht="13">
      <c r="D378" s="32"/>
    </row>
    <row r="379" spans="4:4" ht="13">
      <c r="D379" s="32"/>
    </row>
    <row r="380" spans="4:4" ht="13">
      <c r="D380" s="32"/>
    </row>
    <row r="381" spans="4:4" ht="13">
      <c r="D381" s="32"/>
    </row>
    <row r="382" spans="4:4" ht="13">
      <c r="D382" s="32"/>
    </row>
    <row r="383" spans="4:4" ht="13">
      <c r="D383" s="32"/>
    </row>
    <row r="384" spans="4:4" ht="13">
      <c r="D384" s="32"/>
    </row>
    <row r="385" spans="4:4" ht="13">
      <c r="D385" s="32"/>
    </row>
    <row r="386" spans="4:4" ht="13">
      <c r="D386" s="32"/>
    </row>
    <row r="387" spans="4:4" ht="13">
      <c r="D387" s="32"/>
    </row>
    <row r="388" spans="4:4" ht="13">
      <c r="D388" s="32"/>
    </row>
    <row r="389" spans="4:4" ht="13">
      <c r="D389" s="32"/>
    </row>
    <row r="390" spans="4:4" ht="13">
      <c r="D390" s="32"/>
    </row>
    <row r="391" spans="4:4" ht="13">
      <c r="D391" s="32"/>
    </row>
    <row r="392" spans="4:4" ht="13">
      <c r="D392" s="32"/>
    </row>
    <row r="393" spans="4:4" ht="13">
      <c r="D393" s="32"/>
    </row>
    <row r="394" spans="4:4" ht="13">
      <c r="D394" s="32"/>
    </row>
    <row r="395" spans="4:4" ht="13">
      <c r="D395" s="32"/>
    </row>
    <row r="396" spans="4:4" ht="13">
      <c r="D396" s="32"/>
    </row>
    <row r="397" spans="4:4" ht="13">
      <c r="D397" s="32"/>
    </row>
    <row r="398" spans="4:4" ht="13">
      <c r="D398" s="32"/>
    </row>
    <row r="399" spans="4:4" ht="13">
      <c r="D399" s="32"/>
    </row>
    <row r="400" spans="4:4" ht="13">
      <c r="D400" s="32"/>
    </row>
    <row r="401" spans="4:4" ht="13">
      <c r="D401" s="32"/>
    </row>
    <row r="402" spans="4:4" ht="13">
      <c r="D402" s="32"/>
    </row>
    <row r="403" spans="4:4" ht="13">
      <c r="D403" s="32"/>
    </row>
    <row r="404" spans="4:4" ht="13">
      <c r="D404" s="32"/>
    </row>
    <row r="405" spans="4:4" ht="13">
      <c r="D405" s="32"/>
    </row>
    <row r="406" spans="4:4" ht="13">
      <c r="D406" s="32"/>
    </row>
    <row r="407" spans="4:4" ht="13">
      <c r="D407" s="32"/>
    </row>
    <row r="408" spans="4:4" ht="13">
      <c r="D408" s="32"/>
    </row>
    <row r="409" spans="4:4" ht="13">
      <c r="D409" s="32"/>
    </row>
    <row r="410" spans="4:4" ht="13">
      <c r="D410" s="32"/>
    </row>
    <row r="411" spans="4:4" ht="13">
      <c r="D411" s="32"/>
    </row>
    <row r="412" spans="4:4" ht="13">
      <c r="D412" s="32"/>
    </row>
    <row r="413" spans="4:4" ht="13">
      <c r="D413" s="32"/>
    </row>
    <row r="414" spans="4:4" ht="13">
      <c r="D414" s="32"/>
    </row>
    <row r="415" spans="4:4" ht="13">
      <c r="D415" s="32"/>
    </row>
    <row r="416" spans="4:4" ht="13">
      <c r="D416" s="32"/>
    </row>
    <row r="417" spans="4:4" ht="13">
      <c r="D417" s="32"/>
    </row>
    <row r="418" spans="4:4" ht="13">
      <c r="D418" s="32"/>
    </row>
    <row r="419" spans="4:4" ht="13">
      <c r="D419" s="32"/>
    </row>
    <row r="420" spans="4:4" ht="13">
      <c r="D420" s="32"/>
    </row>
    <row r="421" spans="4:4" ht="13">
      <c r="D421" s="32"/>
    </row>
    <row r="422" spans="4:4" ht="13">
      <c r="D422" s="32"/>
    </row>
    <row r="423" spans="4:4" ht="13">
      <c r="D423" s="32"/>
    </row>
    <row r="424" spans="4:4" ht="13">
      <c r="D424" s="32"/>
    </row>
    <row r="425" spans="4:4" ht="13">
      <c r="D425" s="32"/>
    </row>
    <row r="426" spans="4:4" ht="13">
      <c r="D426" s="32"/>
    </row>
    <row r="427" spans="4:4" ht="13">
      <c r="D427" s="32"/>
    </row>
    <row r="428" spans="4:4" ht="13">
      <c r="D428" s="32"/>
    </row>
    <row r="429" spans="4:4" ht="13">
      <c r="D429" s="32"/>
    </row>
    <row r="430" spans="4:4" ht="13">
      <c r="D430" s="32"/>
    </row>
    <row r="431" spans="4:4" ht="13">
      <c r="D431" s="32"/>
    </row>
    <row r="432" spans="4:4" ht="13">
      <c r="D432" s="32"/>
    </row>
    <row r="433" spans="4:4" ht="13">
      <c r="D433" s="32"/>
    </row>
    <row r="434" spans="4:4" ht="13">
      <c r="D434" s="32"/>
    </row>
    <row r="435" spans="4:4" ht="13">
      <c r="D435" s="32"/>
    </row>
    <row r="436" spans="4:4" ht="13">
      <c r="D436" s="32"/>
    </row>
    <row r="437" spans="4:4" ht="13">
      <c r="D437" s="32"/>
    </row>
    <row r="438" spans="4:4" ht="13">
      <c r="D438" s="32"/>
    </row>
    <row r="439" spans="4:4" ht="13">
      <c r="D439" s="32"/>
    </row>
    <row r="440" spans="4:4" ht="13">
      <c r="D440" s="32"/>
    </row>
    <row r="441" spans="4:4" ht="13">
      <c r="D441" s="32"/>
    </row>
    <row r="442" spans="4:4" ht="13">
      <c r="D442" s="32"/>
    </row>
    <row r="443" spans="4:4" ht="13">
      <c r="D443" s="32"/>
    </row>
    <row r="444" spans="4:4" ht="13">
      <c r="D444" s="32"/>
    </row>
    <row r="445" spans="4:4" ht="13">
      <c r="D445" s="32"/>
    </row>
    <row r="446" spans="4:4" ht="13">
      <c r="D446" s="32"/>
    </row>
    <row r="447" spans="4:4" ht="13">
      <c r="D447" s="32"/>
    </row>
    <row r="448" spans="4:4" ht="13">
      <c r="D448" s="32"/>
    </row>
    <row r="449" spans="4:4" ht="13">
      <c r="D449" s="32"/>
    </row>
    <row r="450" spans="4:4" ht="13">
      <c r="D450" s="32"/>
    </row>
    <row r="451" spans="4:4" ht="13">
      <c r="D451" s="32"/>
    </row>
    <row r="452" spans="4:4" ht="13">
      <c r="D452" s="32"/>
    </row>
    <row r="453" spans="4:4" ht="13">
      <c r="D453" s="32"/>
    </row>
    <row r="454" spans="4:4" ht="13">
      <c r="D454" s="32"/>
    </row>
    <row r="455" spans="4:4" ht="13">
      <c r="D455" s="32"/>
    </row>
    <row r="456" spans="4:4" ht="13">
      <c r="D456" s="32"/>
    </row>
    <row r="457" spans="4:4" ht="13">
      <c r="D457" s="32"/>
    </row>
    <row r="458" spans="4:4" ht="13">
      <c r="D458" s="32"/>
    </row>
    <row r="459" spans="4:4" ht="13">
      <c r="D459" s="32"/>
    </row>
    <row r="460" spans="4:4" ht="13">
      <c r="D460" s="32"/>
    </row>
    <row r="461" spans="4:4" ht="13">
      <c r="D461" s="32"/>
    </row>
    <row r="462" spans="4:4" ht="13">
      <c r="D462" s="32"/>
    </row>
    <row r="463" spans="4:4" ht="13">
      <c r="D463" s="32"/>
    </row>
    <row r="464" spans="4:4" ht="13">
      <c r="D464" s="32"/>
    </row>
    <row r="465" spans="4:4" ht="13">
      <c r="D465" s="32"/>
    </row>
    <row r="466" spans="4:4" ht="13">
      <c r="D466" s="32"/>
    </row>
    <row r="467" spans="4:4" ht="13">
      <c r="D467" s="32"/>
    </row>
    <row r="468" spans="4:4" ht="13">
      <c r="D468" s="32"/>
    </row>
    <row r="469" spans="4:4" ht="13">
      <c r="D469" s="32"/>
    </row>
    <row r="470" spans="4:4" ht="13">
      <c r="D470" s="32"/>
    </row>
    <row r="471" spans="4:4" ht="13">
      <c r="D471" s="32"/>
    </row>
    <row r="472" spans="4:4" ht="13">
      <c r="D472" s="32"/>
    </row>
    <row r="473" spans="4:4" ht="13">
      <c r="D473" s="32"/>
    </row>
    <row r="474" spans="4:4" ht="13">
      <c r="D474" s="32"/>
    </row>
    <row r="475" spans="4:4" ht="13">
      <c r="D475" s="32"/>
    </row>
    <row r="476" spans="4:4" ht="13">
      <c r="D476" s="32"/>
    </row>
    <row r="477" spans="4:4" ht="13">
      <c r="D477" s="32"/>
    </row>
    <row r="478" spans="4:4" ht="13">
      <c r="D478" s="32"/>
    </row>
    <row r="479" spans="4:4" ht="13">
      <c r="D479" s="32"/>
    </row>
    <row r="480" spans="4:4" ht="13">
      <c r="D480" s="32"/>
    </row>
    <row r="481" spans="4:4" ht="13">
      <c r="D481" s="32"/>
    </row>
    <row r="482" spans="4:4" ht="13">
      <c r="D482" s="32"/>
    </row>
    <row r="483" spans="4:4" ht="13">
      <c r="D483" s="32"/>
    </row>
    <row r="484" spans="4:4" ht="13">
      <c r="D484" s="32"/>
    </row>
    <row r="485" spans="4:4" ht="13">
      <c r="D485" s="32"/>
    </row>
    <row r="486" spans="4:4" ht="13">
      <c r="D486" s="32"/>
    </row>
    <row r="487" spans="4:4" ht="13">
      <c r="D487" s="32"/>
    </row>
    <row r="488" spans="4:4" ht="13">
      <c r="D488" s="32"/>
    </row>
    <row r="489" spans="4:4" ht="13">
      <c r="D489" s="32"/>
    </row>
    <row r="490" spans="4:4" ht="13">
      <c r="D490" s="32"/>
    </row>
    <row r="491" spans="4:4" ht="13">
      <c r="D491" s="32"/>
    </row>
    <row r="492" spans="4:4" ht="13">
      <c r="D492" s="32"/>
    </row>
    <row r="493" spans="4:4" ht="13">
      <c r="D493" s="32"/>
    </row>
    <row r="494" spans="4:4" ht="13">
      <c r="D494" s="32"/>
    </row>
    <row r="495" spans="4:4" ht="13">
      <c r="D495" s="32"/>
    </row>
    <row r="496" spans="4:4" ht="13">
      <c r="D496" s="32"/>
    </row>
    <row r="497" spans="4:4" ht="13">
      <c r="D497" s="32"/>
    </row>
    <row r="498" spans="4:4" ht="13">
      <c r="D498" s="32"/>
    </row>
    <row r="499" spans="4:4" ht="13">
      <c r="D499" s="32"/>
    </row>
    <row r="500" spans="4:4" ht="13">
      <c r="D500" s="32"/>
    </row>
    <row r="501" spans="4:4" ht="13">
      <c r="D501" s="32"/>
    </row>
    <row r="502" spans="4:4" ht="13">
      <c r="D502" s="32"/>
    </row>
    <row r="503" spans="4:4" ht="13">
      <c r="D503" s="32"/>
    </row>
    <row r="504" spans="4:4" ht="13">
      <c r="D504" s="32"/>
    </row>
    <row r="505" spans="4:4" ht="13">
      <c r="D505" s="32"/>
    </row>
    <row r="506" spans="4:4" ht="13">
      <c r="D506" s="32"/>
    </row>
    <row r="507" spans="4:4" ht="13">
      <c r="D507" s="32"/>
    </row>
    <row r="508" spans="4:4" ht="13">
      <c r="D508" s="32"/>
    </row>
    <row r="509" spans="4:4" ht="13">
      <c r="D509" s="32"/>
    </row>
    <row r="510" spans="4:4" ht="13">
      <c r="D510" s="32"/>
    </row>
    <row r="511" spans="4:4" ht="13">
      <c r="D511" s="32"/>
    </row>
    <row r="512" spans="4:4" ht="13">
      <c r="D512" s="32"/>
    </row>
    <row r="513" spans="4:4" ht="13">
      <c r="D513" s="32"/>
    </row>
    <row r="514" spans="4:4" ht="13">
      <c r="D514" s="32"/>
    </row>
    <row r="515" spans="4:4" ht="13">
      <c r="D515" s="32"/>
    </row>
    <row r="516" spans="4:4" ht="13">
      <c r="D516" s="32"/>
    </row>
    <row r="517" spans="4:4" ht="13">
      <c r="D517" s="32"/>
    </row>
    <row r="518" spans="4:4" ht="13">
      <c r="D518" s="32"/>
    </row>
    <row r="519" spans="4:4" ht="13">
      <c r="D519" s="32"/>
    </row>
    <row r="520" spans="4:4" ht="13">
      <c r="D520" s="32"/>
    </row>
    <row r="521" spans="4:4" ht="13">
      <c r="D521" s="32"/>
    </row>
    <row r="522" spans="4:4" ht="13">
      <c r="D522" s="32"/>
    </row>
    <row r="523" spans="4:4" ht="13">
      <c r="D523" s="32"/>
    </row>
    <row r="524" spans="4:4" ht="13">
      <c r="D524" s="32"/>
    </row>
    <row r="525" spans="4:4" ht="13">
      <c r="D525" s="32"/>
    </row>
    <row r="526" spans="4:4" ht="13">
      <c r="D526" s="32"/>
    </row>
    <row r="527" spans="4:4" ht="13">
      <c r="D527" s="32"/>
    </row>
    <row r="528" spans="4:4" ht="13">
      <c r="D528" s="32"/>
    </row>
    <row r="529" spans="4:4" ht="13">
      <c r="D529" s="32"/>
    </row>
    <row r="530" spans="4:4" ht="13">
      <c r="D530" s="32"/>
    </row>
    <row r="531" spans="4:4" ht="13">
      <c r="D531" s="32"/>
    </row>
    <row r="532" spans="4:4" ht="13">
      <c r="D532" s="32"/>
    </row>
    <row r="533" spans="4:4" ht="13">
      <c r="D533" s="32"/>
    </row>
    <row r="534" spans="4:4" ht="13">
      <c r="D534" s="32"/>
    </row>
    <row r="535" spans="4:4" ht="13">
      <c r="D535" s="32"/>
    </row>
    <row r="536" spans="4:4" ht="13">
      <c r="D536" s="32"/>
    </row>
    <row r="537" spans="4:4" ht="13">
      <c r="D537" s="32"/>
    </row>
    <row r="538" spans="4:4" ht="13">
      <c r="D538" s="32"/>
    </row>
    <row r="539" spans="4:4" ht="13">
      <c r="D539" s="32"/>
    </row>
    <row r="540" spans="4:4" ht="13">
      <c r="D540" s="32"/>
    </row>
    <row r="541" spans="4:4" ht="13">
      <c r="D541" s="32"/>
    </row>
    <row r="542" spans="4:4" ht="13">
      <c r="D542" s="32"/>
    </row>
    <row r="543" spans="4:4" ht="13">
      <c r="D543" s="32"/>
    </row>
    <row r="544" spans="4:4" ht="13">
      <c r="D544" s="32"/>
    </row>
    <row r="545" spans="4:4" ht="13">
      <c r="D545" s="32"/>
    </row>
    <row r="546" spans="4:4" ht="13">
      <c r="D546" s="32"/>
    </row>
    <row r="547" spans="4:4" ht="13">
      <c r="D547" s="32"/>
    </row>
    <row r="548" spans="4:4" ht="13">
      <c r="D548" s="32"/>
    </row>
    <row r="549" spans="4:4" ht="13">
      <c r="D549" s="32"/>
    </row>
    <row r="550" spans="4:4" ht="13">
      <c r="D550" s="32"/>
    </row>
    <row r="551" spans="4:4" ht="13">
      <c r="D551" s="32"/>
    </row>
    <row r="552" spans="4:4" ht="13">
      <c r="D552" s="32"/>
    </row>
    <row r="553" spans="4:4" ht="13">
      <c r="D553" s="32"/>
    </row>
    <row r="554" spans="4:4" ht="13">
      <c r="D554" s="32"/>
    </row>
    <row r="555" spans="4:4" ht="13">
      <c r="D555" s="32"/>
    </row>
    <row r="556" spans="4:4" ht="13">
      <c r="D556" s="32"/>
    </row>
    <row r="557" spans="4:4" ht="13">
      <c r="D557" s="32"/>
    </row>
    <row r="558" spans="4:4" ht="13">
      <c r="D558" s="32"/>
    </row>
    <row r="559" spans="4:4" ht="13">
      <c r="D559" s="32"/>
    </row>
    <row r="560" spans="4:4" ht="13">
      <c r="D560" s="32"/>
    </row>
    <row r="561" spans="4:4" ht="13">
      <c r="D561" s="32"/>
    </row>
    <row r="562" spans="4:4" ht="13">
      <c r="D562" s="32"/>
    </row>
    <row r="563" spans="4:4" ht="13">
      <c r="D563" s="32"/>
    </row>
    <row r="564" spans="4:4" ht="13">
      <c r="D564" s="32"/>
    </row>
    <row r="565" spans="4:4" ht="13">
      <c r="D565" s="32"/>
    </row>
    <row r="566" spans="4:4" ht="13">
      <c r="D566" s="32"/>
    </row>
    <row r="567" spans="4:4" ht="13">
      <c r="D567" s="32"/>
    </row>
    <row r="568" spans="4:4" ht="13">
      <c r="D568" s="32"/>
    </row>
    <row r="569" spans="4:4" ht="13">
      <c r="D569" s="32"/>
    </row>
    <row r="570" spans="4:4" ht="13">
      <c r="D570" s="32"/>
    </row>
    <row r="571" spans="4:4" ht="13">
      <c r="D571" s="32"/>
    </row>
    <row r="572" spans="4:4" ht="13">
      <c r="D572" s="32"/>
    </row>
    <row r="573" spans="4:4" ht="13">
      <c r="D573" s="32"/>
    </row>
    <row r="574" spans="4:4" ht="13">
      <c r="D574" s="32"/>
    </row>
    <row r="575" spans="4:4" ht="13">
      <c r="D575" s="32"/>
    </row>
    <row r="576" spans="4:4" ht="13">
      <c r="D576" s="32"/>
    </row>
    <row r="577" spans="4:4" ht="13">
      <c r="D577" s="32"/>
    </row>
    <row r="578" spans="4:4" ht="13">
      <c r="D578" s="32"/>
    </row>
    <row r="579" spans="4:4" ht="13">
      <c r="D579" s="32"/>
    </row>
    <row r="580" spans="4:4" ht="13">
      <c r="D580" s="32"/>
    </row>
    <row r="581" spans="4:4" ht="13">
      <c r="D581" s="32"/>
    </row>
    <row r="582" spans="4:4" ht="13">
      <c r="D582" s="32"/>
    </row>
    <row r="583" spans="4:4" ht="13">
      <c r="D583" s="32"/>
    </row>
    <row r="584" spans="4:4" ht="13">
      <c r="D584" s="32"/>
    </row>
    <row r="585" spans="4:4" ht="13">
      <c r="D585" s="32"/>
    </row>
    <row r="586" spans="4:4" ht="13">
      <c r="D586" s="32"/>
    </row>
    <row r="587" spans="4:4" ht="13">
      <c r="D587" s="32"/>
    </row>
    <row r="588" spans="4:4" ht="13">
      <c r="D588" s="32"/>
    </row>
    <row r="589" spans="4:4" ht="13">
      <c r="D589" s="32"/>
    </row>
    <row r="590" spans="4:4" ht="13">
      <c r="D590" s="32"/>
    </row>
    <row r="591" spans="4:4" ht="13">
      <c r="D591" s="32"/>
    </row>
    <row r="592" spans="4:4" ht="13">
      <c r="D592" s="32"/>
    </row>
    <row r="593" spans="4:4" ht="13">
      <c r="D593" s="32"/>
    </row>
    <row r="594" spans="4:4" ht="13">
      <c r="D594" s="32"/>
    </row>
    <row r="595" spans="4:4" ht="13">
      <c r="D595" s="32"/>
    </row>
    <row r="596" spans="4:4" ht="13">
      <c r="D596" s="32"/>
    </row>
    <row r="597" spans="4:4" ht="13">
      <c r="D597" s="32"/>
    </row>
    <row r="598" spans="4:4" ht="13">
      <c r="D598" s="32"/>
    </row>
    <row r="599" spans="4:4" ht="13">
      <c r="D599" s="32"/>
    </row>
    <row r="600" spans="4:4" ht="13">
      <c r="D600" s="32"/>
    </row>
    <row r="601" spans="4:4" ht="13">
      <c r="D601" s="32"/>
    </row>
    <row r="602" spans="4:4" ht="13">
      <c r="D602" s="32"/>
    </row>
    <row r="603" spans="4:4" ht="13">
      <c r="D603" s="32"/>
    </row>
    <row r="604" spans="4:4" ht="13">
      <c r="D604" s="32"/>
    </row>
    <row r="605" spans="4:4" ht="13">
      <c r="D605" s="32"/>
    </row>
    <row r="606" spans="4:4" ht="13">
      <c r="D606" s="32"/>
    </row>
    <row r="607" spans="4:4" ht="13">
      <c r="D607" s="32"/>
    </row>
    <row r="608" spans="4:4" ht="13">
      <c r="D608" s="32"/>
    </row>
    <row r="609" spans="4:4" ht="13">
      <c r="D609" s="32"/>
    </row>
    <row r="610" spans="4:4" ht="13">
      <c r="D610" s="32"/>
    </row>
    <row r="611" spans="4:4" ht="13">
      <c r="D611" s="32"/>
    </row>
    <row r="612" spans="4:4" ht="13">
      <c r="D612" s="32"/>
    </row>
    <row r="613" spans="4:4" ht="13">
      <c r="D613" s="32"/>
    </row>
    <row r="614" spans="4:4" ht="13">
      <c r="D614" s="32"/>
    </row>
    <row r="615" spans="4:4" ht="13">
      <c r="D615" s="32"/>
    </row>
    <row r="616" spans="4:4" ht="13">
      <c r="D616" s="32"/>
    </row>
    <row r="617" spans="4:4" ht="13">
      <c r="D617" s="32"/>
    </row>
    <row r="618" spans="4:4" ht="13">
      <c r="D618" s="32"/>
    </row>
    <row r="619" spans="4:4" ht="13">
      <c r="D619" s="32"/>
    </row>
    <row r="620" spans="4:4" ht="13">
      <c r="D620" s="32"/>
    </row>
    <row r="621" spans="4:4" ht="13">
      <c r="D621" s="32"/>
    </row>
    <row r="622" spans="4:4" ht="13">
      <c r="D622" s="32"/>
    </row>
    <row r="623" spans="4:4" ht="13">
      <c r="D623" s="32"/>
    </row>
    <row r="624" spans="4:4" ht="13">
      <c r="D624" s="32"/>
    </row>
    <row r="625" spans="4:4" ht="13">
      <c r="D625" s="32"/>
    </row>
    <row r="626" spans="4:4" ht="13">
      <c r="D626" s="32"/>
    </row>
    <row r="627" spans="4:4" ht="13">
      <c r="D627" s="32"/>
    </row>
    <row r="628" spans="4:4" ht="13">
      <c r="D628" s="32"/>
    </row>
    <row r="629" spans="4:4" ht="13">
      <c r="D629" s="32"/>
    </row>
    <row r="630" spans="4:4" ht="13">
      <c r="D630" s="32"/>
    </row>
    <row r="631" spans="4:4" ht="13">
      <c r="D631" s="32"/>
    </row>
    <row r="632" spans="4:4" ht="13">
      <c r="D632" s="32"/>
    </row>
    <row r="633" spans="4:4" ht="13">
      <c r="D633" s="32"/>
    </row>
    <row r="634" spans="4:4" ht="13">
      <c r="D634" s="32"/>
    </row>
    <row r="635" spans="4:4" ht="13">
      <c r="D635" s="32"/>
    </row>
    <row r="636" spans="4:4" ht="13">
      <c r="D636" s="32"/>
    </row>
    <row r="637" spans="4:4" ht="13">
      <c r="D637" s="32"/>
    </row>
    <row r="638" spans="4:4" ht="13">
      <c r="D638" s="32"/>
    </row>
    <row r="639" spans="4:4" ht="13">
      <c r="D639" s="32"/>
    </row>
    <row r="640" spans="4:4" ht="13">
      <c r="D640" s="32"/>
    </row>
    <row r="641" spans="4:4" ht="13">
      <c r="D641" s="32"/>
    </row>
    <row r="642" spans="4:4" ht="13">
      <c r="D642" s="32"/>
    </row>
    <row r="643" spans="4:4" ht="13">
      <c r="D643" s="32"/>
    </row>
    <row r="644" spans="4:4" ht="13">
      <c r="D644" s="32"/>
    </row>
    <row r="645" spans="4:4" ht="13">
      <c r="D645" s="32"/>
    </row>
    <row r="646" spans="4:4" ht="13">
      <c r="D646" s="32"/>
    </row>
    <row r="647" spans="4:4" ht="13">
      <c r="D647" s="32"/>
    </row>
    <row r="648" spans="4:4" ht="13">
      <c r="D648" s="32"/>
    </row>
    <row r="649" spans="4:4" ht="13">
      <c r="D649" s="32"/>
    </row>
    <row r="650" spans="4:4" ht="13">
      <c r="D650" s="32"/>
    </row>
    <row r="651" spans="4:4" ht="13">
      <c r="D651" s="32"/>
    </row>
    <row r="652" spans="4:4" ht="13">
      <c r="D652" s="32"/>
    </row>
    <row r="653" spans="4:4" ht="13">
      <c r="D653" s="32"/>
    </row>
    <row r="654" spans="4:4" ht="13">
      <c r="D654" s="32"/>
    </row>
    <row r="655" spans="4:4" ht="13">
      <c r="D655" s="32"/>
    </row>
    <row r="656" spans="4:4" ht="13">
      <c r="D656" s="32"/>
    </row>
    <row r="657" spans="4:4" ht="13">
      <c r="D657" s="32"/>
    </row>
    <row r="658" spans="4:4" ht="13">
      <c r="D658" s="32"/>
    </row>
    <row r="659" spans="4:4" ht="13">
      <c r="D659" s="32"/>
    </row>
    <row r="660" spans="4:4" ht="13">
      <c r="D660" s="32"/>
    </row>
    <row r="661" spans="4:4" ht="13">
      <c r="D661" s="32"/>
    </row>
    <row r="662" spans="4:4" ht="13">
      <c r="D662" s="32"/>
    </row>
    <row r="663" spans="4:4" ht="13">
      <c r="D663" s="32"/>
    </row>
    <row r="664" spans="4:4" ht="13">
      <c r="D664" s="32"/>
    </row>
    <row r="665" spans="4:4" ht="13">
      <c r="D665" s="32"/>
    </row>
    <row r="666" spans="4:4" ht="13">
      <c r="D666" s="32"/>
    </row>
    <row r="667" spans="4:4" ht="13">
      <c r="D667" s="32"/>
    </row>
    <row r="668" spans="4:4" ht="13">
      <c r="D668" s="32"/>
    </row>
    <row r="669" spans="4:4" ht="13">
      <c r="D669" s="32"/>
    </row>
    <row r="670" spans="4:4" ht="13">
      <c r="D670" s="32"/>
    </row>
    <row r="671" spans="4:4" ht="13">
      <c r="D671" s="32"/>
    </row>
    <row r="672" spans="4:4" ht="13">
      <c r="D672" s="32"/>
    </row>
    <row r="673" spans="4:4" ht="13">
      <c r="D673" s="32"/>
    </row>
    <row r="674" spans="4:4" ht="13">
      <c r="D674" s="32"/>
    </row>
    <row r="675" spans="4:4" ht="13">
      <c r="D675" s="32"/>
    </row>
    <row r="676" spans="4:4" ht="13">
      <c r="D676" s="32"/>
    </row>
    <row r="677" spans="4:4" ht="13">
      <c r="D677" s="32"/>
    </row>
    <row r="678" spans="4:4" ht="13">
      <c r="D678" s="32"/>
    </row>
    <row r="679" spans="4:4" ht="13">
      <c r="D679" s="32"/>
    </row>
    <row r="680" spans="4:4" ht="13">
      <c r="D680" s="32"/>
    </row>
    <row r="681" spans="4:4" ht="13">
      <c r="D681" s="32"/>
    </row>
    <row r="682" spans="4:4" ht="13">
      <c r="D682" s="32"/>
    </row>
    <row r="683" spans="4:4" ht="13">
      <c r="D683" s="32"/>
    </row>
    <row r="684" spans="4:4" ht="13">
      <c r="D684" s="32"/>
    </row>
    <row r="685" spans="4:4" ht="13">
      <c r="D685" s="32"/>
    </row>
    <row r="686" spans="4:4" ht="13">
      <c r="D686" s="32"/>
    </row>
    <row r="687" spans="4:4" ht="13">
      <c r="D687" s="32"/>
    </row>
    <row r="688" spans="4:4" ht="13">
      <c r="D688" s="32"/>
    </row>
    <row r="689" spans="4:4" ht="13">
      <c r="D689" s="32"/>
    </row>
    <row r="690" spans="4:4" ht="13">
      <c r="D690" s="32"/>
    </row>
    <row r="691" spans="4:4" ht="13">
      <c r="D691" s="32"/>
    </row>
    <row r="692" spans="4:4" ht="13">
      <c r="D692" s="32"/>
    </row>
    <row r="693" spans="4:4" ht="13">
      <c r="D693" s="32"/>
    </row>
    <row r="694" spans="4:4" ht="13">
      <c r="D694" s="32"/>
    </row>
    <row r="695" spans="4:4" ht="13">
      <c r="D695" s="32"/>
    </row>
    <row r="696" spans="4:4" ht="13">
      <c r="D696" s="32"/>
    </row>
    <row r="697" spans="4:4" ht="13">
      <c r="D697" s="32"/>
    </row>
    <row r="698" spans="4:4" ht="13">
      <c r="D698" s="32"/>
    </row>
    <row r="699" spans="4:4" ht="13">
      <c r="D699" s="32"/>
    </row>
    <row r="700" spans="4:4" ht="13">
      <c r="D700" s="32"/>
    </row>
    <row r="701" spans="4:4" ht="13">
      <c r="D701" s="32"/>
    </row>
    <row r="702" spans="4:4" ht="13">
      <c r="D702" s="32"/>
    </row>
    <row r="703" spans="4:4" ht="13">
      <c r="D703" s="32"/>
    </row>
    <row r="704" spans="4:4" ht="13">
      <c r="D704" s="32"/>
    </row>
    <row r="705" spans="4:4" ht="13">
      <c r="D705" s="32"/>
    </row>
    <row r="706" spans="4:4" ht="13">
      <c r="D706" s="32"/>
    </row>
    <row r="707" spans="4:4" ht="13">
      <c r="D707" s="32"/>
    </row>
    <row r="708" spans="4:4" ht="13">
      <c r="D708" s="32"/>
    </row>
    <row r="709" spans="4:4" ht="13">
      <c r="D709" s="32"/>
    </row>
    <row r="710" spans="4:4" ht="13">
      <c r="D710" s="32"/>
    </row>
    <row r="711" spans="4:4" ht="13">
      <c r="D711" s="32"/>
    </row>
    <row r="712" spans="4:4" ht="13">
      <c r="D712" s="32"/>
    </row>
    <row r="713" spans="4:4" ht="13">
      <c r="D713" s="32"/>
    </row>
    <row r="714" spans="4:4" ht="13">
      <c r="D714" s="32"/>
    </row>
    <row r="715" spans="4:4" ht="13">
      <c r="D715" s="32"/>
    </row>
    <row r="716" spans="4:4" ht="13">
      <c r="D716" s="32"/>
    </row>
    <row r="717" spans="4:4" ht="13">
      <c r="D717" s="32"/>
    </row>
    <row r="718" spans="4:4" ht="13">
      <c r="D718" s="32"/>
    </row>
    <row r="719" spans="4:4" ht="13">
      <c r="D719" s="32"/>
    </row>
    <row r="720" spans="4:4" ht="13">
      <c r="D720" s="32"/>
    </row>
    <row r="721" spans="4:4" ht="13">
      <c r="D721" s="32"/>
    </row>
    <row r="722" spans="4:4" ht="13">
      <c r="D722" s="32"/>
    </row>
    <row r="723" spans="4:4" ht="13">
      <c r="D723" s="32"/>
    </row>
    <row r="724" spans="4:4" ht="13">
      <c r="D724" s="32"/>
    </row>
    <row r="725" spans="4:4" ht="13">
      <c r="D725" s="32"/>
    </row>
    <row r="726" spans="4:4" ht="13">
      <c r="D726" s="32"/>
    </row>
    <row r="727" spans="4:4" ht="13">
      <c r="D727" s="32"/>
    </row>
    <row r="728" spans="4:4" ht="13">
      <c r="D728" s="32"/>
    </row>
    <row r="729" spans="4:4" ht="13">
      <c r="D729" s="32"/>
    </row>
    <row r="730" spans="4:4" ht="13">
      <c r="D730" s="32"/>
    </row>
    <row r="731" spans="4:4" ht="13">
      <c r="D731" s="32"/>
    </row>
    <row r="732" spans="4:4" ht="13">
      <c r="D732" s="32"/>
    </row>
    <row r="733" spans="4:4" ht="13">
      <c r="D733" s="32"/>
    </row>
    <row r="734" spans="4:4" ht="13">
      <c r="D734" s="32"/>
    </row>
    <row r="735" spans="4:4" ht="13">
      <c r="D735" s="32"/>
    </row>
    <row r="736" spans="4:4" ht="13">
      <c r="D736" s="32"/>
    </row>
    <row r="737" spans="4:4" ht="13">
      <c r="D737" s="32"/>
    </row>
    <row r="738" spans="4:4" ht="13">
      <c r="D738" s="32"/>
    </row>
    <row r="739" spans="4:4" ht="13">
      <c r="D739" s="32"/>
    </row>
    <row r="740" spans="4:4" ht="13">
      <c r="D740" s="32"/>
    </row>
    <row r="741" spans="4:4" ht="13">
      <c r="D741" s="32"/>
    </row>
    <row r="742" spans="4:4" ht="13">
      <c r="D742" s="32"/>
    </row>
    <row r="743" spans="4:4" ht="13">
      <c r="D743" s="32"/>
    </row>
    <row r="744" spans="4:4" ht="13">
      <c r="D744" s="32"/>
    </row>
    <row r="745" spans="4:4" ht="13">
      <c r="D745" s="32"/>
    </row>
    <row r="746" spans="4:4" ht="13">
      <c r="D746" s="32"/>
    </row>
    <row r="747" spans="4:4" ht="13">
      <c r="D747" s="32"/>
    </row>
    <row r="748" spans="4:4" ht="13">
      <c r="D748" s="32"/>
    </row>
    <row r="749" spans="4:4" ht="13">
      <c r="D749" s="32"/>
    </row>
    <row r="750" spans="4:4" ht="13">
      <c r="D750" s="32"/>
    </row>
    <row r="751" spans="4:4" ht="13">
      <c r="D751" s="32"/>
    </row>
    <row r="752" spans="4:4" ht="13">
      <c r="D752" s="32"/>
    </row>
    <row r="753" spans="4:4" ht="13">
      <c r="D753" s="32"/>
    </row>
    <row r="754" spans="4:4" ht="13">
      <c r="D754" s="32"/>
    </row>
    <row r="755" spans="4:4" ht="13">
      <c r="D755" s="32"/>
    </row>
    <row r="756" spans="4:4" ht="13">
      <c r="D756" s="32"/>
    </row>
    <row r="757" spans="4:4" ht="13">
      <c r="D757" s="32"/>
    </row>
    <row r="758" spans="4:4" ht="13">
      <c r="D758" s="32"/>
    </row>
    <row r="759" spans="4:4" ht="13">
      <c r="D759" s="32"/>
    </row>
    <row r="760" spans="4:4" ht="13">
      <c r="D760" s="32"/>
    </row>
    <row r="761" spans="4:4" ht="13">
      <c r="D761" s="32"/>
    </row>
    <row r="762" spans="4:4" ht="13">
      <c r="D762" s="32"/>
    </row>
    <row r="763" spans="4:4" ht="13">
      <c r="D763" s="32"/>
    </row>
    <row r="764" spans="4:4" ht="13">
      <c r="D764" s="32"/>
    </row>
    <row r="765" spans="4:4" ht="13">
      <c r="D765" s="32"/>
    </row>
    <row r="766" spans="4:4" ht="13">
      <c r="D766" s="32"/>
    </row>
    <row r="767" spans="4:4" ht="13">
      <c r="D767" s="32"/>
    </row>
    <row r="768" spans="4:4" ht="13">
      <c r="D768" s="32"/>
    </row>
    <row r="769" spans="4:4" ht="13">
      <c r="D769" s="32"/>
    </row>
    <row r="770" spans="4:4" ht="13">
      <c r="D770" s="32"/>
    </row>
    <row r="771" spans="4:4" ht="13">
      <c r="D771" s="32"/>
    </row>
    <row r="772" spans="4:4" ht="13">
      <c r="D772" s="32"/>
    </row>
    <row r="773" spans="4:4" ht="13">
      <c r="D773" s="32"/>
    </row>
    <row r="774" spans="4:4" ht="13">
      <c r="D774" s="32"/>
    </row>
    <row r="775" spans="4:4" ht="13">
      <c r="D775" s="32"/>
    </row>
    <row r="776" spans="4:4" ht="13">
      <c r="D776" s="32"/>
    </row>
    <row r="777" spans="4:4" ht="13">
      <c r="D777" s="32"/>
    </row>
    <row r="778" spans="4:4" ht="13">
      <c r="D778" s="32"/>
    </row>
    <row r="779" spans="4:4" ht="13">
      <c r="D779" s="32"/>
    </row>
    <row r="780" spans="4:4" ht="13">
      <c r="D780" s="32"/>
    </row>
    <row r="781" spans="4:4" ht="13">
      <c r="D781" s="32"/>
    </row>
    <row r="782" spans="4:4" ht="13">
      <c r="D782" s="32"/>
    </row>
    <row r="783" spans="4:4" ht="13">
      <c r="D783" s="32"/>
    </row>
    <row r="784" spans="4:4" ht="13">
      <c r="D784" s="32"/>
    </row>
    <row r="785" spans="4:4" ht="13">
      <c r="D785" s="32"/>
    </row>
    <row r="786" spans="4:4" ht="13">
      <c r="D786" s="32"/>
    </row>
    <row r="787" spans="4:4" ht="13">
      <c r="D787" s="32"/>
    </row>
    <row r="788" spans="4:4" ht="13">
      <c r="D788" s="32"/>
    </row>
    <row r="789" spans="4:4" ht="13">
      <c r="D789" s="32"/>
    </row>
    <row r="790" spans="4:4" ht="13">
      <c r="D790" s="32"/>
    </row>
    <row r="791" spans="4:4" ht="13">
      <c r="D791" s="32"/>
    </row>
    <row r="792" spans="4:4" ht="13">
      <c r="D792" s="32"/>
    </row>
    <row r="793" spans="4:4" ht="13">
      <c r="D793" s="32"/>
    </row>
    <row r="794" spans="4:4" ht="13">
      <c r="D794" s="32"/>
    </row>
    <row r="795" spans="4:4" ht="13">
      <c r="D795" s="32"/>
    </row>
    <row r="796" spans="4:4" ht="13">
      <c r="D796" s="32"/>
    </row>
    <row r="797" spans="4:4" ht="13">
      <c r="D797" s="32"/>
    </row>
    <row r="798" spans="4:4" ht="13">
      <c r="D798" s="32"/>
    </row>
    <row r="799" spans="4:4" ht="13">
      <c r="D799" s="32"/>
    </row>
    <row r="800" spans="4:4" ht="13">
      <c r="D800" s="32"/>
    </row>
    <row r="801" spans="4:4" ht="13">
      <c r="D801" s="32"/>
    </row>
    <row r="802" spans="4:4" ht="13">
      <c r="D802" s="32"/>
    </row>
    <row r="803" spans="4:4" ht="13">
      <c r="D803" s="32"/>
    </row>
    <row r="804" spans="4:4" ht="13">
      <c r="D804" s="32"/>
    </row>
    <row r="805" spans="4:4" ht="13">
      <c r="D805" s="32"/>
    </row>
    <row r="806" spans="4:4" ht="13">
      <c r="D806" s="32"/>
    </row>
    <row r="807" spans="4:4" ht="13">
      <c r="D807" s="32"/>
    </row>
    <row r="808" spans="4:4" ht="13">
      <c r="D808" s="32"/>
    </row>
    <row r="809" spans="4:4" ht="13">
      <c r="D809" s="32"/>
    </row>
    <row r="810" spans="4:4" ht="13">
      <c r="D810" s="32"/>
    </row>
    <row r="811" spans="4:4" ht="13">
      <c r="D811" s="32"/>
    </row>
    <row r="812" spans="4:4" ht="13">
      <c r="D812" s="32"/>
    </row>
    <row r="813" spans="4:4" ht="13">
      <c r="D813" s="32"/>
    </row>
    <row r="814" spans="4:4" ht="13">
      <c r="D814" s="32"/>
    </row>
    <row r="815" spans="4:4" ht="13">
      <c r="D815" s="32"/>
    </row>
    <row r="816" spans="4:4" ht="13">
      <c r="D816" s="32"/>
    </row>
    <row r="817" spans="4:4" ht="13">
      <c r="D817" s="32"/>
    </row>
    <row r="818" spans="4:4" ht="13">
      <c r="D818" s="32"/>
    </row>
    <row r="819" spans="4:4" ht="13">
      <c r="D819" s="32"/>
    </row>
    <row r="820" spans="4:4" ht="13">
      <c r="D820" s="32"/>
    </row>
    <row r="821" spans="4:4" ht="13">
      <c r="D821" s="32"/>
    </row>
    <row r="822" spans="4:4" ht="13">
      <c r="D822" s="32"/>
    </row>
    <row r="823" spans="4:4" ht="13">
      <c r="D823" s="32"/>
    </row>
    <row r="824" spans="4:4" ht="13">
      <c r="D824" s="32"/>
    </row>
    <row r="825" spans="4:4" ht="13">
      <c r="D825" s="32"/>
    </row>
    <row r="826" spans="4:4" ht="13">
      <c r="D826" s="32"/>
    </row>
    <row r="827" spans="4:4" ht="13">
      <c r="D827" s="32"/>
    </row>
    <row r="828" spans="4:4" ht="13">
      <c r="D828" s="32"/>
    </row>
    <row r="829" spans="4:4" ht="13">
      <c r="D829" s="32"/>
    </row>
    <row r="830" spans="4:4" ht="13">
      <c r="D830" s="32"/>
    </row>
    <row r="831" spans="4:4" ht="13">
      <c r="D831" s="32"/>
    </row>
    <row r="832" spans="4:4" ht="13">
      <c r="D832" s="32"/>
    </row>
    <row r="833" spans="4:4" ht="13">
      <c r="D833" s="32"/>
    </row>
    <row r="834" spans="4:4" ht="13">
      <c r="D834" s="32"/>
    </row>
    <row r="835" spans="4:4" ht="13">
      <c r="D835" s="32"/>
    </row>
    <row r="836" spans="4:4" ht="13">
      <c r="D836" s="32"/>
    </row>
    <row r="837" spans="4:4" ht="13">
      <c r="D837" s="32"/>
    </row>
    <row r="838" spans="4:4" ht="13">
      <c r="D838" s="32"/>
    </row>
    <row r="839" spans="4:4" ht="13">
      <c r="D839" s="32"/>
    </row>
    <row r="840" spans="4:4" ht="13">
      <c r="D840" s="32"/>
    </row>
    <row r="841" spans="4:4" ht="13">
      <c r="D841" s="32"/>
    </row>
    <row r="842" spans="4:4" ht="13">
      <c r="D842" s="32"/>
    </row>
    <row r="843" spans="4:4" ht="13">
      <c r="D843" s="32"/>
    </row>
    <row r="844" spans="4:4" ht="13">
      <c r="D844" s="32"/>
    </row>
    <row r="845" spans="4:4" ht="13">
      <c r="D845" s="32"/>
    </row>
    <row r="846" spans="4:4" ht="13">
      <c r="D846" s="32"/>
    </row>
    <row r="847" spans="4:4" ht="13">
      <c r="D847" s="32"/>
    </row>
    <row r="848" spans="4:4" ht="13">
      <c r="D848" s="32"/>
    </row>
    <row r="849" spans="4:4" ht="13">
      <c r="D849" s="32"/>
    </row>
    <row r="850" spans="4:4" ht="13">
      <c r="D850" s="32"/>
    </row>
    <row r="851" spans="4:4" ht="13">
      <c r="D851" s="32"/>
    </row>
    <row r="852" spans="4:4" ht="13">
      <c r="D852" s="32"/>
    </row>
    <row r="853" spans="4:4" ht="13">
      <c r="D853" s="32"/>
    </row>
    <row r="854" spans="4:4" ht="13">
      <c r="D854" s="32"/>
    </row>
    <row r="855" spans="4:4" ht="13">
      <c r="D855" s="32"/>
    </row>
    <row r="856" spans="4:4" ht="13">
      <c r="D856" s="32"/>
    </row>
    <row r="857" spans="4:4" ht="13">
      <c r="D857" s="32"/>
    </row>
    <row r="858" spans="4:4" ht="13">
      <c r="D858" s="32"/>
    </row>
    <row r="859" spans="4:4" ht="13">
      <c r="D859" s="32"/>
    </row>
    <row r="860" spans="4:4" ht="13">
      <c r="D860" s="32"/>
    </row>
    <row r="861" spans="4:4" ht="13">
      <c r="D861" s="32"/>
    </row>
    <row r="862" spans="4:4" ht="13">
      <c r="D862" s="32"/>
    </row>
    <row r="863" spans="4:4" ht="13">
      <c r="D863" s="32"/>
    </row>
    <row r="864" spans="4:4" ht="13">
      <c r="D864" s="32"/>
    </row>
    <row r="865" spans="4:4" ht="13">
      <c r="D865" s="32"/>
    </row>
    <row r="866" spans="4:4" ht="13">
      <c r="D866" s="32"/>
    </row>
    <row r="867" spans="4:4" ht="13">
      <c r="D867" s="32"/>
    </row>
    <row r="868" spans="4:4" ht="13">
      <c r="D868" s="32"/>
    </row>
    <row r="869" spans="4:4" ht="13">
      <c r="D869" s="32"/>
    </row>
    <row r="870" spans="4:4" ht="13">
      <c r="D870" s="32"/>
    </row>
    <row r="871" spans="4:4" ht="13">
      <c r="D871" s="32"/>
    </row>
    <row r="872" spans="4:4" ht="13">
      <c r="D872" s="32"/>
    </row>
    <row r="873" spans="4:4" ht="13">
      <c r="D873" s="32"/>
    </row>
    <row r="874" spans="4:4" ht="13">
      <c r="D874" s="32"/>
    </row>
    <row r="875" spans="4:4" ht="13">
      <c r="D875" s="32"/>
    </row>
    <row r="876" spans="4:4" ht="13">
      <c r="D876" s="32"/>
    </row>
    <row r="877" spans="4:4" ht="13">
      <c r="D877" s="32"/>
    </row>
    <row r="878" spans="4:4" ht="13">
      <c r="D878" s="32"/>
    </row>
    <row r="879" spans="4:4" ht="13">
      <c r="D879" s="32"/>
    </row>
    <row r="880" spans="4:4" ht="13">
      <c r="D880" s="32"/>
    </row>
    <row r="881" spans="4:4" ht="13">
      <c r="D881" s="32"/>
    </row>
    <row r="882" spans="4:4" ht="13">
      <c r="D882" s="32"/>
    </row>
    <row r="883" spans="4:4" ht="13">
      <c r="D883" s="32"/>
    </row>
    <row r="884" spans="4:4" ht="13">
      <c r="D884" s="32"/>
    </row>
    <row r="885" spans="4:4" ht="13">
      <c r="D885" s="32"/>
    </row>
    <row r="886" spans="4:4" ht="13">
      <c r="D886" s="32"/>
    </row>
    <row r="887" spans="4:4" ht="13">
      <c r="D887" s="32"/>
    </row>
    <row r="888" spans="4:4" ht="13">
      <c r="D888" s="32"/>
    </row>
    <row r="889" spans="4:4" ht="13">
      <c r="D889" s="32"/>
    </row>
    <row r="890" spans="4:4" ht="13">
      <c r="D890" s="32"/>
    </row>
    <row r="891" spans="4:4" ht="13">
      <c r="D891" s="32"/>
    </row>
    <row r="892" spans="4:4" ht="13">
      <c r="D892" s="32"/>
    </row>
    <row r="893" spans="4:4" ht="13">
      <c r="D893" s="32"/>
    </row>
    <row r="894" spans="4:4" ht="13">
      <c r="D894" s="32"/>
    </row>
    <row r="895" spans="4:4" ht="13">
      <c r="D895" s="32"/>
    </row>
    <row r="896" spans="4:4" ht="13">
      <c r="D896" s="32"/>
    </row>
    <row r="897" spans="4:4" ht="13">
      <c r="D897" s="32"/>
    </row>
    <row r="898" spans="4:4" ht="13">
      <c r="D898" s="32"/>
    </row>
    <row r="899" spans="4:4" ht="13">
      <c r="D899" s="32"/>
    </row>
    <row r="900" spans="4:4" ht="13">
      <c r="D900" s="32"/>
    </row>
    <row r="901" spans="4:4" ht="13">
      <c r="D901" s="32"/>
    </row>
    <row r="902" spans="4:4" ht="13">
      <c r="D902" s="32"/>
    </row>
    <row r="903" spans="4:4" ht="13">
      <c r="D903" s="32"/>
    </row>
    <row r="904" spans="4:4" ht="13">
      <c r="D904" s="32"/>
    </row>
    <row r="905" spans="4:4" ht="13">
      <c r="D905" s="32"/>
    </row>
    <row r="906" spans="4:4" ht="13">
      <c r="D906" s="32"/>
    </row>
    <row r="907" spans="4:4" ht="13">
      <c r="D907" s="32"/>
    </row>
    <row r="908" spans="4:4" ht="13">
      <c r="D908" s="32"/>
    </row>
    <row r="909" spans="4:4" ht="13">
      <c r="D909" s="32"/>
    </row>
    <row r="910" spans="4:4" ht="13">
      <c r="D910" s="32"/>
    </row>
    <row r="911" spans="4:4" ht="13">
      <c r="D911" s="32"/>
    </row>
    <row r="912" spans="4:4" ht="13">
      <c r="D912" s="32"/>
    </row>
    <row r="913" spans="4:4" ht="13">
      <c r="D913" s="32"/>
    </row>
    <row r="914" spans="4:4" ht="13">
      <c r="D914" s="32"/>
    </row>
    <row r="915" spans="4:4" ht="13">
      <c r="D915" s="32"/>
    </row>
    <row r="916" spans="4:4" ht="13">
      <c r="D916" s="32"/>
    </row>
    <row r="917" spans="4:4" ht="13">
      <c r="D917" s="32"/>
    </row>
    <row r="918" spans="4:4" ht="13">
      <c r="D918" s="32"/>
    </row>
    <row r="919" spans="4:4" ht="13">
      <c r="D919" s="32"/>
    </row>
    <row r="920" spans="4:4" ht="13">
      <c r="D920" s="32"/>
    </row>
    <row r="921" spans="4:4" ht="13">
      <c r="D921" s="32"/>
    </row>
    <row r="922" spans="4:4" ht="13">
      <c r="D922" s="32"/>
    </row>
    <row r="923" spans="4:4" ht="13">
      <c r="D923" s="32"/>
    </row>
    <row r="924" spans="4:4" ht="13">
      <c r="D924" s="32"/>
    </row>
    <row r="925" spans="4:4" ht="13">
      <c r="D925" s="32"/>
    </row>
    <row r="926" spans="4:4" ht="13">
      <c r="D926" s="32"/>
    </row>
    <row r="927" spans="4:4" ht="13">
      <c r="D927" s="32"/>
    </row>
    <row r="928" spans="4:4" ht="13">
      <c r="D928" s="32"/>
    </row>
    <row r="929" spans="4:4" ht="13">
      <c r="D929" s="32"/>
    </row>
    <row r="930" spans="4:4" ht="13">
      <c r="D930" s="32"/>
    </row>
    <row r="931" spans="4:4" ht="13">
      <c r="D931" s="32"/>
    </row>
    <row r="932" spans="4:4" ht="13">
      <c r="D932" s="32"/>
    </row>
    <row r="933" spans="4:4" ht="13">
      <c r="D933" s="32"/>
    </row>
    <row r="934" spans="4:4" ht="13">
      <c r="D934" s="32"/>
    </row>
    <row r="935" spans="4:4" ht="13">
      <c r="D935" s="32"/>
    </row>
    <row r="936" spans="4:4" ht="13">
      <c r="D936" s="32"/>
    </row>
    <row r="937" spans="4:4" ht="13">
      <c r="D937" s="32"/>
    </row>
    <row r="938" spans="4:4" ht="13">
      <c r="D938" s="32"/>
    </row>
    <row r="939" spans="4:4" ht="13">
      <c r="D939" s="32"/>
    </row>
    <row r="940" spans="4:4" ht="13">
      <c r="D940" s="32"/>
    </row>
    <row r="941" spans="4:4" ht="13">
      <c r="D941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Z999"/>
  <sheetViews>
    <sheetView workbookViewId="0"/>
  </sheetViews>
  <sheetFormatPr baseColWidth="10" defaultColWidth="12.6640625" defaultRowHeight="15.75" customHeight="1"/>
  <cols>
    <col min="1" max="1" width="13.33203125" customWidth="1"/>
    <col min="2" max="2" width="20.5" customWidth="1"/>
  </cols>
  <sheetData>
    <row r="1" spans="1:26" ht="14">
      <c r="A1" s="75" t="s">
        <v>212</v>
      </c>
      <c r="B1" s="75" t="s">
        <v>213</v>
      </c>
      <c r="C1" s="76" t="s">
        <v>214</v>
      </c>
      <c r="D1" s="77" t="s">
        <v>215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">
      <c r="A2" s="79" t="s">
        <v>216</v>
      </c>
      <c r="B2" s="35" t="s">
        <v>86</v>
      </c>
      <c r="C2" s="69">
        <v>34729</v>
      </c>
      <c r="D2" s="80">
        <f t="shared" ref="D2:D77" si="0">C2/90</f>
        <v>385.87777777777779</v>
      </c>
    </row>
    <row r="3" spans="1:26" ht="15">
      <c r="A3" s="79" t="s">
        <v>216</v>
      </c>
      <c r="B3" s="35" t="s">
        <v>79</v>
      </c>
      <c r="C3" s="69">
        <v>12302</v>
      </c>
      <c r="D3" s="80">
        <f t="shared" si="0"/>
        <v>136.6888888888889</v>
      </c>
    </row>
    <row r="4" spans="1:26" ht="15">
      <c r="A4" s="79" t="s">
        <v>216</v>
      </c>
      <c r="B4" s="35" t="s">
        <v>217</v>
      </c>
      <c r="C4" s="69">
        <v>34800</v>
      </c>
      <c r="D4" s="80">
        <f t="shared" si="0"/>
        <v>386.66666666666669</v>
      </c>
    </row>
    <row r="5" spans="1:26" ht="15">
      <c r="A5" s="79" t="s">
        <v>216</v>
      </c>
      <c r="B5" s="35" t="s">
        <v>75</v>
      </c>
      <c r="C5" s="69">
        <v>77600</v>
      </c>
      <c r="D5" s="80">
        <f t="shared" si="0"/>
        <v>862.22222222222217</v>
      </c>
    </row>
    <row r="6" spans="1:26" ht="15">
      <c r="A6" s="79" t="s">
        <v>216</v>
      </c>
      <c r="B6" s="35" t="s">
        <v>80</v>
      </c>
      <c r="C6" s="69">
        <v>66445</v>
      </c>
      <c r="D6" s="80">
        <f t="shared" si="0"/>
        <v>738.27777777777783</v>
      </c>
    </row>
    <row r="7" spans="1:26" ht="15">
      <c r="A7" s="79" t="s">
        <v>216</v>
      </c>
      <c r="B7" s="35" t="s">
        <v>218</v>
      </c>
      <c r="C7" s="69">
        <v>9592</v>
      </c>
      <c r="D7" s="80">
        <f t="shared" si="0"/>
        <v>106.57777777777778</v>
      </c>
    </row>
    <row r="8" spans="1:26" ht="15">
      <c r="A8" s="79" t="s">
        <v>216</v>
      </c>
      <c r="B8" s="35" t="s">
        <v>186</v>
      </c>
      <c r="C8" s="69">
        <v>52122</v>
      </c>
      <c r="D8" s="80">
        <f t="shared" si="0"/>
        <v>579.13333333333333</v>
      </c>
    </row>
    <row r="9" spans="1:26" ht="15">
      <c r="A9" s="79" t="s">
        <v>216</v>
      </c>
      <c r="B9" s="35" t="s">
        <v>219</v>
      </c>
      <c r="C9" s="69">
        <v>58600</v>
      </c>
      <c r="D9" s="80">
        <f t="shared" si="0"/>
        <v>651.11111111111109</v>
      </c>
    </row>
    <row r="10" spans="1:26" ht="15">
      <c r="A10" s="79" t="s">
        <v>216</v>
      </c>
      <c r="B10" s="35" t="s">
        <v>91</v>
      </c>
      <c r="C10" s="69">
        <v>45265</v>
      </c>
      <c r="D10" s="80">
        <f t="shared" si="0"/>
        <v>502.94444444444446</v>
      </c>
    </row>
    <row r="11" spans="1:26" ht="15" hidden="1">
      <c r="A11" s="9" t="s">
        <v>220</v>
      </c>
      <c r="B11" s="35" t="s">
        <v>191</v>
      </c>
      <c r="C11" s="69">
        <v>92539</v>
      </c>
      <c r="D11" s="80">
        <f t="shared" si="0"/>
        <v>1028.2111111111112</v>
      </c>
    </row>
    <row r="12" spans="1:26" ht="15" hidden="1">
      <c r="A12" s="34" t="s">
        <v>93</v>
      </c>
      <c r="B12" s="35" t="s">
        <v>94</v>
      </c>
      <c r="C12" s="69">
        <v>80600</v>
      </c>
      <c r="D12" s="80">
        <f t="shared" si="0"/>
        <v>895.55555555555554</v>
      </c>
    </row>
    <row r="13" spans="1:26" ht="15" hidden="1">
      <c r="A13" s="34" t="s">
        <v>93</v>
      </c>
      <c r="B13" s="35" t="s">
        <v>95</v>
      </c>
      <c r="C13" s="69">
        <v>32000</v>
      </c>
      <c r="D13" s="80">
        <f t="shared" si="0"/>
        <v>355.55555555555554</v>
      </c>
    </row>
    <row r="14" spans="1:26" ht="15" hidden="1">
      <c r="A14" s="34" t="s">
        <v>114</v>
      </c>
      <c r="B14" s="35" t="s">
        <v>96</v>
      </c>
      <c r="C14" s="69">
        <v>65700</v>
      </c>
      <c r="D14" s="80">
        <f t="shared" si="0"/>
        <v>730</v>
      </c>
    </row>
    <row r="15" spans="1:26" ht="15" hidden="1">
      <c r="A15" s="9" t="s">
        <v>196</v>
      </c>
      <c r="B15" s="35" t="s">
        <v>99</v>
      </c>
      <c r="C15" s="69">
        <v>40900</v>
      </c>
      <c r="D15" s="80">
        <f t="shared" si="0"/>
        <v>454.44444444444446</v>
      </c>
    </row>
    <row r="16" spans="1:26" ht="15" hidden="1">
      <c r="A16" s="9" t="s">
        <v>220</v>
      </c>
      <c r="B16" s="35" t="s">
        <v>100</v>
      </c>
      <c r="C16" s="69">
        <v>143640</v>
      </c>
      <c r="D16" s="80">
        <f t="shared" si="0"/>
        <v>1596</v>
      </c>
    </row>
    <row r="17" spans="1:4" ht="15" hidden="1">
      <c r="A17" s="9" t="s">
        <v>196</v>
      </c>
      <c r="B17" s="35" t="s">
        <v>101</v>
      </c>
      <c r="C17" s="69">
        <v>58000</v>
      </c>
      <c r="D17" s="80">
        <f t="shared" si="0"/>
        <v>644.44444444444446</v>
      </c>
    </row>
    <row r="18" spans="1:4" ht="15" hidden="1">
      <c r="A18" s="9" t="s">
        <v>197</v>
      </c>
      <c r="B18" s="35" t="s">
        <v>102</v>
      </c>
      <c r="C18" s="69">
        <v>67927</v>
      </c>
      <c r="D18" s="80">
        <f t="shared" si="0"/>
        <v>754.74444444444441</v>
      </c>
    </row>
    <row r="19" spans="1:4" ht="15" hidden="1">
      <c r="A19" s="9" t="s">
        <v>197</v>
      </c>
      <c r="B19" s="35" t="s">
        <v>198</v>
      </c>
      <c r="C19" s="69">
        <v>91242</v>
      </c>
      <c r="D19" s="80">
        <f t="shared" si="0"/>
        <v>1013.8</v>
      </c>
    </row>
    <row r="20" spans="1:4" ht="15" hidden="1">
      <c r="A20" s="9" t="s">
        <v>220</v>
      </c>
      <c r="B20" s="35" t="s">
        <v>104</v>
      </c>
      <c r="C20" s="69">
        <v>147000</v>
      </c>
      <c r="D20" s="80">
        <f t="shared" si="0"/>
        <v>1633.3333333333333</v>
      </c>
    </row>
    <row r="21" spans="1:4" ht="15" hidden="1">
      <c r="A21" s="9" t="s">
        <v>114</v>
      </c>
      <c r="B21" s="35" t="s">
        <v>90</v>
      </c>
      <c r="C21" s="69">
        <v>145700</v>
      </c>
      <c r="D21" s="80">
        <f t="shared" si="0"/>
        <v>1618.8888888888889</v>
      </c>
    </row>
    <row r="22" spans="1:4" ht="15" hidden="1">
      <c r="A22" s="9" t="s">
        <v>220</v>
      </c>
      <c r="B22" s="35" t="s">
        <v>105</v>
      </c>
      <c r="C22" s="69">
        <v>110000</v>
      </c>
      <c r="D22" s="80">
        <f t="shared" si="0"/>
        <v>1222.2222222222222</v>
      </c>
    </row>
    <row r="23" spans="1:4" ht="15" hidden="1">
      <c r="A23" s="9" t="s">
        <v>196</v>
      </c>
      <c r="B23" s="35" t="s">
        <v>106</v>
      </c>
      <c r="C23" s="69">
        <v>62796</v>
      </c>
      <c r="D23" s="80">
        <f t="shared" si="0"/>
        <v>697.73333333333335</v>
      </c>
    </row>
    <row r="24" spans="1:4" ht="15" hidden="1">
      <c r="A24" s="9" t="s">
        <v>114</v>
      </c>
      <c r="B24" s="35" t="s">
        <v>123</v>
      </c>
      <c r="C24" s="69">
        <v>352093</v>
      </c>
      <c r="D24" s="80">
        <f t="shared" si="0"/>
        <v>3912.1444444444446</v>
      </c>
    </row>
    <row r="25" spans="1:4" ht="15" hidden="1">
      <c r="A25" s="9" t="s">
        <v>114</v>
      </c>
      <c r="B25" s="35" t="s">
        <v>221</v>
      </c>
      <c r="C25" s="69">
        <v>234729</v>
      </c>
      <c r="D25" s="80">
        <f t="shared" si="0"/>
        <v>2608.1</v>
      </c>
    </row>
    <row r="26" spans="1:4" ht="15" hidden="1">
      <c r="A26" s="9" t="s">
        <v>114</v>
      </c>
      <c r="B26" s="35" t="s">
        <v>222</v>
      </c>
      <c r="C26" s="69">
        <v>949270</v>
      </c>
      <c r="D26" s="80">
        <f t="shared" si="0"/>
        <v>10547.444444444445</v>
      </c>
    </row>
    <row r="27" spans="1:4" ht="15" hidden="1">
      <c r="A27" s="9" t="s">
        <v>220</v>
      </c>
      <c r="B27" s="35" t="s">
        <v>107</v>
      </c>
      <c r="C27" s="69">
        <v>938110</v>
      </c>
      <c r="D27" s="80">
        <f t="shared" si="0"/>
        <v>10423.444444444445</v>
      </c>
    </row>
    <row r="28" spans="1:4" ht="16" hidden="1">
      <c r="A28" s="9" t="s">
        <v>223</v>
      </c>
      <c r="B28" s="81" t="s">
        <v>204</v>
      </c>
      <c r="C28" s="69">
        <v>126801</v>
      </c>
      <c r="D28" s="80">
        <f t="shared" si="0"/>
        <v>1408.9</v>
      </c>
    </row>
    <row r="29" spans="1:4" ht="16" hidden="1">
      <c r="A29" s="9" t="s">
        <v>223</v>
      </c>
      <c r="B29" s="81" t="s">
        <v>20</v>
      </c>
      <c r="C29" s="69">
        <v>51800</v>
      </c>
      <c r="D29" s="80">
        <f t="shared" si="0"/>
        <v>575.55555555555554</v>
      </c>
    </row>
    <row r="30" spans="1:4" ht="16" hidden="1">
      <c r="A30" s="9" t="s">
        <v>223</v>
      </c>
      <c r="B30" s="81" t="s">
        <v>23</v>
      </c>
      <c r="C30" s="69">
        <v>33606</v>
      </c>
      <c r="D30" s="80">
        <f t="shared" si="0"/>
        <v>373.4</v>
      </c>
    </row>
    <row r="31" spans="1:4" ht="16" hidden="1">
      <c r="A31" s="9" t="s">
        <v>223</v>
      </c>
      <c r="B31" s="81" t="s">
        <v>22</v>
      </c>
      <c r="C31" s="69">
        <v>55520</v>
      </c>
      <c r="D31" s="80">
        <f t="shared" si="0"/>
        <v>616.88888888888891</v>
      </c>
    </row>
    <row r="32" spans="1:4" ht="16" hidden="1">
      <c r="A32" s="9" t="s">
        <v>223</v>
      </c>
      <c r="B32" s="81" t="s">
        <v>92</v>
      </c>
      <c r="C32" s="69">
        <v>68800</v>
      </c>
      <c r="D32" s="80">
        <f t="shared" si="0"/>
        <v>764.44444444444446</v>
      </c>
    </row>
    <row r="33" spans="1:4" ht="16" hidden="1">
      <c r="A33" s="9" t="s">
        <v>223</v>
      </c>
      <c r="B33" s="81" t="s">
        <v>28</v>
      </c>
      <c r="C33" s="69">
        <v>106800</v>
      </c>
      <c r="D33" s="80">
        <f t="shared" si="0"/>
        <v>1186.6666666666667</v>
      </c>
    </row>
    <row r="34" spans="1:4" ht="16" hidden="1">
      <c r="A34" s="9" t="s">
        <v>223</v>
      </c>
      <c r="B34" s="81" t="s">
        <v>109</v>
      </c>
      <c r="C34" s="69">
        <v>44800</v>
      </c>
      <c r="D34" s="80">
        <f t="shared" si="0"/>
        <v>497.77777777777777</v>
      </c>
    </row>
    <row r="35" spans="1:4" ht="16" hidden="1">
      <c r="A35" s="9" t="s">
        <v>223</v>
      </c>
      <c r="B35" s="81" t="s">
        <v>31</v>
      </c>
      <c r="C35" s="69">
        <v>41671</v>
      </c>
      <c r="D35" s="80">
        <f t="shared" si="0"/>
        <v>463.01111111111112</v>
      </c>
    </row>
    <row r="36" spans="1:4" ht="16" hidden="1">
      <c r="A36" s="9" t="s">
        <v>223</v>
      </c>
      <c r="B36" s="81" t="s">
        <v>32</v>
      </c>
      <c r="C36" s="69">
        <v>37181</v>
      </c>
      <c r="D36" s="80">
        <f t="shared" si="0"/>
        <v>413.12222222222221</v>
      </c>
    </row>
    <row r="37" spans="1:4" ht="16" hidden="1">
      <c r="A37" s="9" t="s">
        <v>223</v>
      </c>
      <c r="B37" s="81" t="s">
        <v>33</v>
      </c>
      <c r="C37" s="69">
        <v>44600</v>
      </c>
      <c r="D37" s="80">
        <f t="shared" si="0"/>
        <v>495.55555555555554</v>
      </c>
    </row>
    <row r="38" spans="1:4" ht="15" hidden="1">
      <c r="A38" s="9" t="s">
        <v>223</v>
      </c>
      <c r="B38" s="82" t="s">
        <v>35</v>
      </c>
      <c r="C38" s="69">
        <v>91887</v>
      </c>
      <c r="D38" s="80">
        <f t="shared" si="0"/>
        <v>1020.9666666666667</v>
      </c>
    </row>
    <row r="39" spans="1:4" ht="15" hidden="1">
      <c r="A39" s="9" t="s">
        <v>223</v>
      </c>
      <c r="B39" s="83" t="s">
        <v>37</v>
      </c>
      <c r="C39" s="69">
        <v>89115</v>
      </c>
      <c r="D39" s="80">
        <f t="shared" si="0"/>
        <v>990.16666666666663</v>
      </c>
    </row>
    <row r="40" spans="1:4" ht="15" hidden="1">
      <c r="A40" s="9" t="s">
        <v>223</v>
      </c>
      <c r="B40" s="83" t="s">
        <v>38</v>
      </c>
      <c r="C40" s="69">
        <v>63122</v>
      </c>
      <c r="D40" s="80">
        <f t="shared" si="0"/>
        <v>701.35555555555561</v>
      </c>
    </row>
    <row r="41" spans="1:4" ht="15" hidden="1">
      <c r="A41" s="9" t="s">
        <v>223</v>
      </c>
      <c r="B41" s="83" t="s">
        <v>40</v>
      </c>
      <c r="C41" s="69">
        <v>39168</v>
      </c>
      <c r="D41" s="80">
        <f t="shared" si="0"/>
        <v>435.2</v>
      </c>
    </row>
    <row r="42" spans="1:4" ht="15" hidden="1">
      <c r="A42" s="9" t="s">
        <v>223</v>
      </c>
      <c r="B42" s="83" t="s">
        <v>42</v>
      </c>
      <c r="C42" s="69">
        <v>47284</v>
      </c>
      <c r="D42" s="80">
        <f t="shared" si="0"/>
        <v>525.37777777777774</v>
      </c>
    </row>
    <row r="43" spans="1:4" ht="15" hidden="1">
      <c r="A43" s="9" t="s">
        <v>223</v>
      </c>
      <c r="B43" s="84" t="s">
        <v>36</v>
      </c>
      <c r="C43" s="69">
        <v>46584</v>
      </c>
      <c r="D43" s="80">
        <f t="shared" si="0"/>
        <v>517.6</v>
      </c>
    </row>
    <row r="44" spans="1:4" ht="15" hidden="1">
      <c r="A44" s="9" t="s">
        <v>223</v>
      </c>
      <c r="B44" s="83" t="s">
        <v>39</v>
      </c>
      <c r="C44" s="69">
        <v>42000</v>
      </c>
      <c r="D44" s="80">
        <f t="shared" si="0"/>
        <v>466.66666666666669</v>
      </c>
    </row>
    <row r="45" spans="1:4" ht="15" hidden="1">
      <c r="A45" s="9" t="s">
        <v>223</v>
      </c>
      <c r="B45" s="83" t="s">
        <v>41</v>
      </c>
      <c r="C45" s="69">
        <v>37000</v>
      </c>
      <c r="D45" s="80">
        <f t="shared" si="0"/>
        <v>411.11111111111109</v>
      </c>
    </row>
    <row r="46" spans="1:4" ht="15" hidden="1">
      <c r="A46" s="9" t="s">
        <v>223</v>
      </c>
      <c r="B46" s="83" t="s">
        <v>44</v>
      </c>
      <c r="C46" s="69">
        <v>49840</v>
      </c>
      <c r="D46" s="80">
        <f t="shared" si="0"/>
        <v>553.77777777777783</v>
      </c>
    </row>
    <row r="47" spans="1:4" ht="15" hidden="1">
      <c r="A47" s="9" t="s">
        <v>223</v>
      </c>
      <c r="B47" s="83" t="s">
        <v>43</v>
      </c>
      <c r="C47" s="69">
        <v>41768</v>
      </c>
      <c r="D47" s="80">
        <f t="shared" si="0"/>
        <v>464.0888888888889</v>
      </c>
    </row>
    <row r="48" spans="1:4" ht="15" hidden="1">
      <c r="A48" s="9" t="s">
        <v>223</v>
      </c>
      <c r="B48" s="82" t="s">
        <v>47</v>
      </c>
      <c r="C48" s="69">
        <v>67327</v>
      </c>
      <c r="D48" s="80">
        <f t="shared" si="0"/>
        <v>748.07777777777778</v>
      </c>
    </row>
    <row r="49" spans="1:4" ht="15" hidden="1">
      <c r="A49" s="9" t="s">
        <v>223</v>
      </c>
      <c r="B49" s="82" t="s">
        <v>48</v>
      </c>
      <c r="C49" s="69">
        <v>70000</v>
      </c>
      <c r="D49" s="80">
        <f t="shared" si="0"/>
        <v>777.77777777777783</v>
      </c>
    </row>
    <row r="50" spans="1:4" ht="15" hidden="1">
      <c r="A50" s="9" t="s">
        <v>223</v>
      </c>
      <c r="B50" s="82" t="s">
        <v>49</v>
      </c>
      <c r="C50" s="69">
        <v>46304</v>
      </c>
      <c r="D50" s="80">
        <f t="shared" si="0"/>
        <v>514.48888888888894</v>
      </c>
    </row>
    <row r="51" spans="1:4" ht="16" hidden="1">
      <c r="A51" s="9" t="s">
        <v>223</v>
      </c>
      <c r="B51" s="81" t="s">
        <v>52</v>
      </c>
      <c r="C51" s="69">
        <v>97000</v>
      </c>
      <c r="D51" s="80">
        <f t="shared" si="0"/>
        <v>1077.7777777777778</v>
      </c>
    </row>
    <row r="52" spans="1:4" ht="16" hidden="1">
      <c r="A52" s="9" t="s">
        <v>223</v>
      </c>
      <c r="B52" s="81" t="s">
        <v>51</v>
      </c>
      <c r="C52" s="69">
        <v>81068</v>
      </c>
      <c r="D52" s="80">
        <f t="shared" si="0"/>
        <v>900.75555555555559</v>
      </c>
    </row>
    <row r="53" spans="1:4" ht="16" hidden="1">
      <c r="A53" s="9" t="s">
        <v>223</v>
      </c>
      <c r="B53" s="81" t="s">
        <v>60</v>
      </c>
      <c r="C53" s="69">
        <v>71000</v>
      </c>
      <c r="D53" s="80">
        <f t="shared" si="0"/>
        <v>788.88888888888891</v>
      </c>
    </row>
    <row r="54" spans="1:4" ht="15" hidden="1">
      <c r="A54" s="9" t="s">
        <v>223</v>
      </c>
      <c r="B54" s="69" t="s">
        <v>187</v>
      </c>
      <c r="C54" s="69">
        <v>49413</v>
      </c>
      <c r="D54" s="80">
        <f t="shared" si="0"/>
        <v>549.0333333333333</v>
      </c>
    </row>
    <row r="55" spans="1:4" ht="15" hidden="1">
      <c r="A55" s="9" t="s">
        <v>223</v>
      </c>
      <c r="B55" s="83" t="s">
        <v>145</v>
      </c>
      <c r="C55" s="69">
        <v>84870</v>
      </c>
      <c r="D55" s="80">
        <f t="shared" si="0"/>
        <v>943</v>
      </c>
    </row>
    <row r="56" spans="1:4" ht="15" hidden="1">
      <c r="A56" s="9" t="s">
        <v>223</v>
      </c>
      <c r="B56" s="85" t="s">
        <v>67</v>
      </c>
      <c r="C56" s="69">
        <v>54000</v>
      </c>
      <c r="D56" s="80">
        <f t="shared" si="0"/>
        <v>600</v>
      </c>
    </row>
    <row r="57" spans="1:4" ht="15" hidden="1">
      <c r="A57" s="9" t="s">
        <v>223</v>
      </c>
      <c r="B57" s="85" t="s">
        <v>68</v>
      </c>
      <c r="C57" s="69">
        <v>58811</v>
      </c>
      <c r="D57" s="80">
        <f t="shared" si="0"/>
        <v>653.45555555555552</v>
      </c>
    </row>
    <row r="58" spans="1:4" ht="15" hidden="1">
      <c r="A58" s="9" t="s">
        <v>223</v>
      </c>
      <c r="B58" s="85" t="s">
        <v>69</v>
      </c>
      <c r="C58" s="69">
        <v>48449</v>
      </c>
      <c r="D58" s="80">
        <f t="shared" si="0"/>
        <v>538.32222222222219</v>
      </c>
    </row>
    <row r="59" spans="1:4" ht="15" hidden="1">
      <c r="A59" s="9" t="s">
        <v>223</v>
      </c>
      <c r="B59" s="85" t="s">
        <v>65</v>
      </c>
      <c r="C59" s="69">
        <v>62600</v>
      </c>
      <c r="D59" s="80">
        <f t="shared" si="0"/>
        <v>695.55555555555554</v>
      </c>
    </row>
    <row r="60" spans="1:4" ht="15" hidden="1">
      <c r="A60" s="9" t="s">
        <v>223</v>
      </c>
      <c r="B60" s="85" t="s">
        <v>77</v>
      </c>
      <c r="C60" s="69">
        <v>63600</v>
      </c>
      <c r="D60" s="80">
        <f t="shared" si="0"/>
        <v>706.66666666666663</v>
      </c>
    </row>
    <row r="61" spans="1:4" ht="15" hidden="1">
      <c r="A61" s="9" t="s">
        <v>223</v>
      </c>
      <c r="B61" s="85" t="s">
        <v>89</v>
      </c>
      <c r="C61" s="69">
        <v>60470</v>
      </c>
      <c r="D61" s="80">
        <f t="shared" si="0"/>
        <v>671.88888888888891</v>
      </c>
    </row>
    <row r="62" spans="1:4" ht="15" hidden="1">
      <c r="A62" s="9" t="s">
        <v>223</v>
      </c>
      <c r="B62" s="85" t="s">
        <v>206</v>
      </c>
      <c r="C62" s="69">
        <v>70000</v>
      </c>
      <c r="D62" s="80">
        <f t="shared" si="0"/>
        <v>777.77777777777783</v>
      </c>
    </row>
    <row r="63" spans="1:4" ht="15" hidden="1">
      <c r="A63" s="9" t="s">
        <v>223</v>
      </c>
      <c r="B63" s="85" t="s">
        <v>73</v>
      </c>
      <c r="C63" s="69">
        <v>42000</v>
      </c>
      <c r="D63" s="80">
        <f t="shared" si="0"/>
        <v>466.66666666666669</v>
      </c>
    </row>
    <row r="64" spans="1:4" ht="15" hidden="1">
      <c r="A64" s="9" t="s">
        <v>223</v>
      </c>
      <c r="B64" s="86" t="s">
        <v>66</v>
      </c>
      <c r="C64" s="69">
        <v>50713</v>
      </c>
      <c r="D64" s="80">
        <f t="shared" si="0"/>
        <v>563.47777777777776</v>
      </c>
    </row>
    <row r="65" spans="1:4" ht="15" hidden="1">
      <c r="A65" s="9" t="s">
        <v>223</v>
      </c>
      <c r="B65" s="85" t="s">
        <v>153</v>
      </c>
      <c r="C65" s="69">
        <v>121000</v>
      </c>
      <c r="D65" s="80">
        <f t="shared" si="0"/>
        <v>1344.4444444444443</v>
      </c>
    </row>
    <row r="66" spans="1:4" ht="15" hidden="1">
      <c r="A66" s="9" t="s">
        <v>223</v>
      </c>
      <c r="B66" s="85" t="s">
        <v>154</v>
      </c>
      <c r="C66" s="69">
        <v>47000</v>
      </c>
      <c r="D66" s="80">
        <f t="shared" si="0"/>
        <v>522.22222222222217</v>
      </c>
    </row>
    <row r="67" spans="1:4" ht="15" hidden="1">
      <c r="A67" s="9" t="s">
        <v>223</v>
      </c>
      <c r="B67" s="85" t="s">
        <v>157</v>
      </c>
      <c r="C67" s="69">
        <v>60600</v>
      </c>
      <c r="D67" s="80">
        <f t="shared" si="0"/>
        <v>673.33333333333337</v>
      </c>
    </row>
    <row r="68" spans="1:4" ht="15" hidden="1">
      <c r="A68" s="9" t="s">
        <v>223</v>
      </c>
      <c r="B68" s="85" t="s">
        <v>158</v>
      </c>
      <c r="C68" s="69">
        <v>48000</v>
      </c>
      <c r="D68" s="80">
        <f t="shared" si="0"/>
        <v>533.33333333333337</v>
      </c>
    </row>
    <row r="69" spans="1:4" ht="15" hidden="1">
      <c r="A69" s="9" t="s">
        <v>223</v>
      </c>
      <c r="B69" s="85" t="s">
        <v>207</v>
      </c>
      <c r="C69" s="69">
        <v>52491</v>
      </c>
      <c r="D69" s="80">
        <f t="shared" si="0"/>
        <v>583.23333333333335</v>
      </c>
    </row>
    <row r="70" spans="1:4" ht="15" hidden="1">
      <c r="A70" s="9" t="s">
        <v>223</v>
      </c>
      <c r="B70" s="85" t="s">
        <v>81</v>
      </c>
      <c r="C70" s="69">
        <v>88835</v>
      </c>
      <c r="D70" s="80">
        <f t="shared" si="0"/>
        <v>987.05555555555554</v>
      </c>
    </row>
    <row r="71" spans="1:4" ht="15" hidden="1">
      <c r="A71" s="9" t="s">
        <v>223</v>
      </c>
      <c r="B71" s="85" t="s">
        <v>208</v>
      </c>
      <c r="C71" s="69">
        <v>58500</v>
      </c>
      <c r="D71" s="80">
        <f t="shared" si="0"/>
        <v>650</v>
      </c>
    </row>
    <row r="72" spans="1:4" ht="15" hidden="1">
      <c r="A72" s="9" t="s">
        <v>223</v>
      </c>
      <c r="B72" s="85" t="s">
        <v>160</v>
      </c>
      <c r="C72" s="69">
        <v>51600</v>
      </c>
      <c r="D72" s="80">
        <f t="shared" si="0"/>
        <v>573.33333333333337</v>
      </c>
    </row>
    <row r="73" spans="1:4" ht="16" hidden="1">
      <c r="A73" s="9" t="s">
        <v>223</v>
      </c>
      <c r="B73" s="81" t="s">
        <v>58</v>
      </c>
      <c r="C73" s="69">
        <v>107930</v>
      </c>
      <c r="D73" s="80">
        <f t="shared" si="0"/>
        <v>1199.2222222222222</v>
      </c>
    </row>
    <row r="74" spans="1:4" ht="15" hidden="1">
      <c r="A74" s="9" t="s">
        <v>223</v>
      </c>
      <c r="B74" s="87" t="s">
        <v>54</v>
      </c>
      <c r="C74" s="69">
        <v>172500</v>
      </c>
      <c r="D74" s="80">
        <f t="shared" si="0"/>
        <v>1916.6666666666667</v>
      </c>
    </row>
    <row r="75" spans="1:4" ht="15" hidden="1">
      <c r="A75" s="9" t="s">
        <v>223</v>
      </c>
      <c r="B75" s="87" t="s">
        <v>55</v>
      </c>
      <c r="C75" s="69">
        <v>300000</v>
      </c>
      <c r="D75" s="80">
        <f t="shared" si="0"/>
        <v>3333.3333333333335</v>
      </c>
    </row>
    <row r="76" spans="1:4" ht="15" hidden="1">
      <c r="A76" s="9" t="s">
        <v>223</v>
      </c>
      <c r="B76" s="87" t="s">
        <v>164</v>
      </c>
      <c r="C76" s="69">
        <v>218000</v>
      </c>
      <c r="D76" s="80">
        <f t="shared" si="0"/>
        <v>2422.2222222222222</v>
      </c>
    </row>
    <row r="77" spans="1:4" ht="16" hidden="1">
      <c r="A77" s="9" t="s">
        <v>223</v>
      </c>
      <c r="B77" s="88" t="s">
        <v>71</v>
      </c>
      <c r="C77" s="69">
        <v>109920</v>
      </c>
      <c r="D77" s="80">
        <f t="shared" si="0"/>
        <v>1221.3333333333333</v>
      </c>
    </row>
    <row r="78" spans="1:4" ht="15">
      <c r="C78" s="69"/>
      <c r="D78" s="80"/>
    </row>
    <row r="79" spans="1:4" ht="15">
      <c r="C79" s="69"/>
      <c r="D79" s="80"/>
    </row>
    <row r="80" spans="1:4" ht="15">
      <c r="C80" s="69"/>
      <c r="D80" s="80"/>
    </row>
    <row r="81" spans="3:4" ht="15">
      <c r="C81" s="69"/>
      <c r="D81" s="80"/>
    </row>
    <row r="82" spans="3:4" ht="15">
      <c r="C82" s="69"/>
      <c r="D82" s="80"/>
    </row>
    <row r="83" spans="3:4" ht="15">
      <c r="C83" s="69"/>
      <c r="D83" s="80"/>
    </row>
    <row r="84" spans="3:4" ht="15">
      <c r="C84" s="69"/>
      <c r="D84" s="80"/>
    </row>
    <row r="85" spans="3:4" ht="15">
      <c r="C85" s="69"/>
      <c r="D85" s="80"/>
    </row>
    <row r="86" spans="3:4" ht="15">
      <c r="C86" s="69"/>
      <c r="D86" s="80"/>
    </row>
    <row r="87" spans="3:4" ht="15">
      <c r="C87" s="69"/>
      <c r="D87" s="80"/>
    </row>
    <row r="88" spans="3:4" ht="15">
      <c r="C88" s="69"/>
      <c r="D88" s="80"/>
    </row>
    <row r="89" spans="3:4" ht="15">
      <c r="C89" s="69"/>
      <c r="D89" s="80"/>
    </row>
    <row r="90" spans="3:4" ht="15">
      <c r="C90" s="69"/>
      <c r="D90" s="80"/>
    </row>
    <row r="91" spans="3:4" ht="15">
      <c r="C91" s="69"/>
      <c r="D91" s="80"/>
    </row>
    <row r="92" spans="3:4" ht="15">
      <c r="C92" s="69"/>
      <c r="D92" s="80"/>
    </row>
    <row r="93" spans="3:4" ht="13">
      <c r="C93" s="89"/>
      <c r="D93" s="80"/>
    </row>
    <row r="94" spans="3:4" ht="13">
      <c r="C94" s="89"/>
      <c r="D94" s="80"/>
    </row>
    <row r="95" spans="3:4" ht="13">
      <c r="C95" s="89"/>
      <c r="D95" s="80"/>
    </row>
    <row r="96" spans="3:4" ht="13">
      <c r="C96" s="89"/>
      <c r="D96" s="80"/>
    </row>
    <row r="97" spans="3:4" ht="13">
      <c r="C97" s="89"/>
      <c r="D97" s="80"/>
    </row>
    <row r="98" spans="3:4" ht="13">
      <c r="C98" s="89"/>
      <c r="D98" s="80"/>
    </row>
    <row r="99" spans="3:4" ht="13">
      <c r="C99" s="89"/>
      <c r="D99" s="80"/>
    </row>
    <row r="100" spans="3:4" ht="13">
      <c r="C100" s="89"/>
      <c r="D100" s="80"/>
    </row>
    <row r="101" spans="3:4" ht="13">
      <c r="C101" s="89"/>
      <c r="D101" s="80"/>
    </row>
    <row r="102" spans="3:4" ht="13">
      <c r="C102" s="89"/>
      <c r="D102" s="80"/>
    </row>
    <row r="103" spans="3:4" ht="13">
      <c r="C103" s="89"/>
      <c r="D103" s="80"/>
    </row>
    <row r="104" spans="3:4" ht="13">
      <c r="C104" s="89"/>
      <c r="D104" s="80"/>
    </row>
    <row r="105" spans="3:4" ht="13">
      <c r="C105" s="89"/>
      <c r="D105" s="80"/>
    </row>
    <row r="106" spans="3:4" ht="13">
      <c r="C106" s="89"/>
      <c r="D106" s="80"/>
    </row>
    <row r="107" spans="3:4" ht="13">
      <c r="C107" s="89"/>
      <c r="D107" s="80"/>
    </row>
    <row r="108" spans="3:4" ht="13">
      <c r="C108" s="89"/>
      <c r="D108" s="80"/>
    </row>
    <row r="109" spans="3:4" ht="13">
      <c r="C109" s="89"/>
      <c r="D109" s="80"/>
    </row>
    <row r="110" spans="3:4" ht="13">
      <c r="C110" s="89"/>
      <c r="D110" s="80"/>
    </row>
    <row r="111" spans="3:4" ht="13">
      <c r="C111" s="89"/>
      <c r="D111" s="80"/>
    </row>
    <row r="112" spans="3:4" ht="13">
      <c r="C112" s="89"/>
      <c r="D112" s="80"/>
    </row>
    <row r="113" spans="3:4" ht="13">
      <c r="C113" s="89"/>
      <c r="D113" s="80"/>
    </row>
    <row r="114" spans="3:4" ht="13">
      <c r="C114" s="89"/>
      <c r="D114" s="80"/>
    </row>
    <row r="115" spans="3:4" ht="13">
      <c r="C115" s="89"/>
      <c r="D115" s="80"/>
    </row>
    <row r="116" spans="3:4" ht="13">
      <c r="C116" s="89"/>
      <c r="D116" s="80"/>
    </row>
    <row r="117" spans="3:4" ht="13">
      <c r="C117" s="89"/>
      <c r="D117" s="80"/>
    </row>
    <row r="118" spans="3:4" ht="13">
      <c r="C118" s="89"/>
      <c r="D118" s="80"/>
    </row>
    <row r="119" spans="3:4" ht="13">
      <c r="C119" s="89"/>
      <c r="D119" s="80"/>
    </row>
    <row r="120" spans="3:4" ht="13">
      <c r="C120" s="89"/>
      <c r="D120" s="80"/>
    </row>
    <row r="121" spans="3:4" ht="13">
      <c r="C121" s="89"/>
      <c r="D121" s="80"/>
    </row>
    <row r="122" spans="3:4" ht="13">
      <c r="C122" s="89"/>
      <c r="D122" s="80"/>
    </row>
    <row r="123" spans="3:4" ht="13">
      <c r="C123" s="89"/>
      <c r="D123" s="80"/>
    </row>
    <row r="124" spans="3:4" ht="13">
      <c r="C124" s="89"/>
      <c r="D124" s="80"/>
    </row>
    <row r="125" spans="3:4" ht="13">
      <c r="C125" s="89"/>
      <c r="D125" s="80"/>
    </row>
    <row r="126" spans="3:4" ht="13">
      <c r="C126" s="89"/>
      <c r="D126" s="80"/>
    </row>
    <row r="127" spans="3:4" ht="13">
      <c r="C127" s="89"/>
      <c r="D127" s="80"/>
    </row>
    <row r="128" spans="3:4" ht="13">
      <c r="C128" s="89"/>
      <c r="D128" s="80"/>
    </row>
    <row r="129" spans="3:4" ht="13">
      <c r="C129" s="89"/>
      <c r="D129" s="80"/>
    </row>
    <row r="130" spans="3:4" ht="13">
      <c r="C130" s="89"/>
      <c r="D130" s="80"/>
    </row>
    <row r="131" spans="3:4" ht="13">
      <c r="C131" s="89"/>
      <c r="D131" s="80"/>
    </row>
    <row r="132" spans="3:4" ht="13">
      <c r="C132" s="89"/>
      <c r="D132" s="80"/>
    </row>
    <row r="133" spans="3:4" ht="13">
      <c r="C133" s="89"/>
      <c r="D133" s="80"/>
    </row>
    <row r="134" spans="3:4" ht="13">
      <c r="C134" s="89"/>
      <c r="D134" s="80"/>
    </row>
    <row r="135" spans="3:4" ht="13">
      <c r="C135" s="89"/>
      <c r="D135" s="80"/>
    </row>
    <row r="136" spans="3:4" ht="13">
      <c r="C136" s="89"/>
      <c r="D136" s="80"/>
    </row>
    <row r="137" spans="3:4" ht="13">
      <c r="C137" s="89"/>
      <c r="D137" s="80"/>
    </row>
    <row r="138" spans="3:4" ht="13">
      <c r="C138" s="89"/>
      <c r="D138" s="80"/>
    </row>
    <row r="139" spans="3:4" ht="13">
      <c r="C139" s="89"/>
      <c r="D139" s="80"/>
    </row>
    <row r="140" spans="3:4" ht="13">
      <c r="C140" s="89"/>
      <c r="D140" s="80"/>
    </row>
    <row r="141" spans="3:4" ht="13">
      <c r="C141" s="89"/>
      <c r="D141" s="80"/>
    </row>
    <row r="142" spans="3:4" ht="13">
      <c r="C142" s="89"/>
      <c r="D142" s="80"/>
    </row>
    <row r="143" spans="3:4" ht="13">
      <c r="C143" s="89"/>
      <c r="D143" s="80"/>
    </row>
    <row r="144" spans="3:4" ht="13">
      <c r="C144" s="89"/>
      <c r="D144" s="80"/>
    </row>
    <row r="145" spans="3:4" ht="13">
      <c r="C145" s="89"/>
      <c r="D145" s="80"/>
    </row>
    <row r="146" spans="3:4" ht="13">
      <c r="C146" s="89"/>
      <c r="D146" s="80"/>
    </row>
    <row r="147" spans="3:4" ht="13">
      <c r="C147" s="89"/>
      <c r="D147" s="80"/>
    </row>
    <row r="148" spans="3:4" ht="13">
      <c r="C148" s="89"/>
      <c r="D148" s="80"/>
    </row>
    <row r="149" spans="3:4" ht="13">
      <c r="C149" s="89"/>
      <c r="D149" s="80"/>
    </row>
    <row r="150" spans="3:4" ht="13">
      <c r="C150" s="89"/>
      <c r="D150" s="80"/>
    </row>
    <row r="151" spans="3:4" ht="13">
      <c r="C151" s="89"/>
      <c r="D151" s="80"/>
    </row>
    <row r="152" spans="3:4" ht="13">
      <c r="C152" s="89"/>
      <c r="D152" s="80"/>
    </row>
    <row r="153" spans="3:4" ht="13">
      <c r="C153" s="89"/>
      <c r="D153" s="80"/>
    </row>
    <row r="154" spans="3:4" ht="13">
      <c r="C154" s="89"/>
      <c r="D154" s="80"/>
    </row>
    <row r="155" spans="3:4" ht="13">
      <c r="C155" s="89"/>
      <c r="D155" s="80"/>
    </row>
    <row r="156" spans="3:4" ht="13">
      <c r="C156" s="89"/>
      <c r="D156" s="80"/>
    </row>
    <row r="157" spans="3:4" ht="13">
      <c r="C157" s="89"/>
      <c r="D157" s="80"/>
    </row>
    <row r="158" spans="3:4" ht="13">
      <c r="C158" s="89"/>
      <c r="D158" s="80"/>
    </row>
    <row r="159" spans="3:4" ht="13">
      <c r="C159" s="89"/>
      <c r="D159" s="80"/>
    </row>
    <row r="160" spans="3:4" ht="13">
      <c r="C160" s="89"/>
      <c r="D160" s="80"/>
    </row>
    <row r="161" spans="3:4" ht="13">
      <c r="C161" s="89"/>
      <c r="D161" s="80"/>
    </row>
    <row r="162" spans="3:4" ht="13">
      <c r="C162" s="89"/>
      <c r="D162" s="80"/>
    </row>
    <row r="163" spans="3:4" ht="13">
      <c r="C163" s="89"/>
      <c r="D163" s="80"/>
    </row>
    <row r="164" spans="3:4" ht="13">
      <c r="C164" s="89"/>
      <c r="D164" s="80"/>
    </row>
    <row r="165" spans="3:4" ht="13">
      <c r="C165" s="89"/>
      <c r="D165" s="80"/>
    </row>
    <row r="166" spans="3:4" ht="13">
      <c r="C166" s="89"/>
      <c r="D166" s="80"/>
    </row>
    <row r="167" spans="3:4" ht="13">
      <c r="C167" s="89"/>
      <c r="D167" s="80"/>
    </row>
    <row r="168" spans="3:4" ht="13">
      <c r="C168" s="89"/>
      <c r="D168" s="80"/>
    </row>
    <row r="169" spans="3:4" ht="13">
      <c r="C169" s="89"/>
      <c r="D169" s="80"/>
    </row>
    <row r="170" spans="3:4" ht="13">
      <c r="C170" s="89"/>
      <c r="D170" s="80"/>
    </row>
    <row r="171" spans="3:4" ht="13">
      <c r="C171" s="89"/>
      <c r="D171" s="80"/>
    </row>
    <row r="172" spans="3:4" ht="13">
      <c r="C172" s="89"/>
      <c r="D172" s="80"/>
    </row>
    <row r="173" spans="3:4" ht="13">
      <c r="C173" s="89"/>
      <c r="D173" s="80"/>
    </row>
    <row r="174" spans="3:4" ht="13">
      <c r="C174" s="89"/>
      <c r="D174" s="80"/>
    </row>
    <row r="175" spans="3:4" ht="13">
      <c r="C175" s="89"/>
      <c r="D175" s="80"/>
    </row>
    <row r="176" spans="3:4" ht="13">
      <c r="C176" s="89"/>
      <c r="D176" s="80"/>
    </row>
    <row r="177" spans="3:4" ht="13">
      <c r="C177" s="89"/>
      <c r="D177" s="80"/>
    </row>
    <row r="178" spans="3:4" ht="13">
      <c r="C178" s="89"/>
      <c r="D178" s="80"/>
    </row>
    <row r="179" spans="3:4" ht="13">
      <c r="C179" s="89"/>
      <c r="D179" s="80"/>
    </row>
    <row r="180" spans="3:4" ht="13">
      <c r="C180" s="89"/>
      <c r="D180" s="80"/>
    </row>
    <row r="181" spans="3:4" ht="13">
      <c r="C181" s="89"/>
      <c r="D181" s="80"/>
    </row>
    <row r="182" spans="3:4" ht="13">
      <c r="C182" s="89"/>
      <c r="D182" s="80"/>
    </row>
    <row r="183" spans="3:4" ht="13">
      <c r="C183" s="89"/>
      <c r="D183" s="80"/>
    </row>
    <row r="184" spans="3:4" ht="13">
      <c r="C184" s="89"/>
      <c r="D184" s="80"/>
    </row>
    <row r="185" spans="3:4" ht="13">
      <c r="C185" s="89"/>
      <c r="D185" s="80"/>
    </row>
    <row r="186" spans="3:4" ht="13">
      <c r="C186" s="89"/>
      <c r="D186" s="80"/>
    </row>
    <row r="187" spans="3:4" ht="13">
      <c r="C187" s="89"/>
      <c r="D187" s="80"/>
    </row>
    <row r="188" spans="3:4" ht="13">
      <c r="C188" s="89"/>
      <c r="D188" s="80"/>
    </row>
    <row r="189" spans="3:4" ht="13">
      <c r="C189" s="89"/>
      <c r="D189" s="80"/>
    </row>
    <row r="190" spans="3:4" ht="13">
      <c r="C190" s="89"/>
      <c r="D190" s="80"/>
    </row>
    <row r="191" spans="3:4" ht="13">
      <c r="C191" s="89"/>
      <c r="D191" s="80"/>
    </row>
    <row r="192" spans="3:4" ht="13">
      <c r="C192" s="89"/>
      <c r="D192" s="80"/>
    </row>
    <row r="193" spans="3:4" ht="13">
      <c r="C193" s="89"/>
      <c r="D193" s="80"/>
    </row>
    <row r="194" spans="3:4" ht="13">
      <c r="C194" s="89"/>
      <c r="D194" s="80"/>
    </row>
    <row r="195" spans="3:4" ht="13">
      <c r="C195" s="89"/>
      <c r="D195" s="80"/>
    </row>
    <row r="196" spans="3:4" ht="13">
      <c r="C196" s="89"/>
      <c r="D196" s="80"/>
    </row>
    <row r="197" spans="3:4" ht="13">
      <c r="C197" s="89"/>
      <c r="D197" s="80"/>
    </row>
    <row r="198" spans="3:4" ht="13">
      <c r="C198" s="89"/>
      <c r="D198" s="80"/>
    </row>
    <row r="199" spans="3:4" ht="13">
      <c r="C199" s="89"/>
      <c r="D199" s="80"/>
    </row>
    <row r="200" spans="3:4" ht="13">
      <c r="C200" s="89"/>
      <c r="D200" s="80"/>
    </row>
    <row r="201" spans="3:4" ht="13">
      <c r="C201" s="89"/>
      <c r="D201" s="80"/>
    </row>
    <row r="202" spans="3:4" ht="13">
      <c r="C202" s="89"/>
      <c r="D202" s="80"/>
    </row>
    <row r="203" spans="3:4" ht="13">
      <c r="C203" s="89"/>
      <c r="D203" s="80"/>
    </row>
    <row r="204" spans="3:4" ht="13">
      <c r="C204" s="89"/>
      <c r="D204" s="80"/>
    </row>
    <row r="205" spans="3:4" ht="13">
      <c r="C205" s="89"/>
      <c r="D205" s="80"/>
    </row>
    <row r="206" spans="3:4" ht="13">
      <c r="C206" s="89"/>
      <c r="D206" s="80"/>
    </row>
    <row r="207" spans="3:4" ht="13">
      <c r="C207" s="89"/>
      <c r="D207" s="80"/>
    </row>
    <row r="208" spans="3:4" ht="13">
      <c r="C208" s="89"/>
      <c r="D208" s="80"/>
    </row>
    <row r="209" spans="3:4" ht="13">
      <c r="C209" s="89"/>
      <c r="D209" s="80"/>
    </row>
    <row r="210" spans="3:4" ht="13">
      <c r="C210" s="89"/>
      <c r="D210" s="80"/>
    </row>
    <row r="211" spans="3:4" ht="13">
      <c r="C211" s="89"/>
      <c r="D211" s="80"/>
    </row>
    <row r="212" spans="3:4" ht="13">
      <c r="C212" s="89"/>
      <c r="D212" s="80"/>
    </row>
    <row r="213" spans="3:4" ht="13">
      <c r="C213" s="89"/>
      <c r="D213" s="80"/>
    </row>
    <row r="214" spans="3:4" ht="13">
      <c r="C214" s="89"/>
      <c r="D214" s="80"/>
    </row>
    <row r="215" spans="3:4" ht="13">
      <c r="C215" s="89"/>
      <c r="D215" s="80"/>
    </row>
    <row r="216" spans="3:4" ht="13">
      <c r="C216" s="89"/>
      <c r="D216" s="80"/>
    </row>
    <row r="217" spans="3:4" ht="13">
      <c r="C217" s="89"/>
      <c r="D217" s="80"/>
    </row>
    <row r="218" spans="3:4" ht="13">
      <c r="C218" s="89"/>
      <c r="D218" s="80"/>
    </row>
    <row r="219" spans="3:4" ht="13">
      <c r="C219" s="89"/>
      <c r="D219" s="80"/>
    </row>
    <row r="220" spans="3:4" ht="13">
      <c r="C220" s="89"/>
      <c r="D220" s="80"/>
    </row>
    <row r="221" spans="3:4" ht="13">
      <c r="C221" s="89"/>
      <c r="D221" s="80"/>
    </row>
    <row r="222" spans="3:4" ht="13">
      <c r="C222" s="89"/>
      <c r="D222" s="80"/>
    </row>
    <row r="223" spans="3:4" ht="13">
      <c r="C223" s="89"/>
      <c r="D223" s="80"/>
    </row>
    <row r="224" spans="3:4" ht="13">
      <c r="C224" s="89"/>
      <c r="D224" s="80"/>
    </row>
    <row r="225" spans="3:4" ht="13">
      <c r="C225" s="89"/>
      <c r="D225" s="80"/>
    </row>
    <row r="226" spans="3:4" ht="13">
      <c r="C226" s="89"/>
      <c r="D226" s="80"/>
    </row>
    <row r="227" spans="3:4" ht="13">
      <c r="C227" s="89"/>
      <c r="D227" s="80"/>
    </row>
    <row r="228" spans="3:4" ht="13">
      <c r="C228" s="89"/>
      <c r="D228" s="80"/>
    </row>
    <row r="229" spans="3:4" ht="13">
      <c r="C229" s="89"/>
      <c r="D229" s="80"/>
    </row>
    <row r="230" spans="3:4" ht="13">
      <c r="C230" s="89"/>
      <c r="D230" s="80"/>
    </row>
    <row r="231" spans="3:4" ht="13">
      <c r="C231" s="89"/>
      <c r="D231" s="80"/>
    </row>
    <row r="232" spans="3:4" ht="13">
      <c r="C232" s="89"/>
      <c r="D232" s="80"/>
    </row>
    <row r="233" spans="3:4" ht="13">
      <c r="C233" s="89"/>
      <c r="D233" s="80"/>
    </row>
    <row r="234" spans="3:4" ht="13">
      <c r="C234" s="89"/>
      <c r="D234" s="80"/>
    </row>
    <row r="235" spans="3:4" ht="13">
      <c r="C235" s="89"/>
      <c r="D235" s="80"/>
    </row>
    <row r="236" spans="3:4" ht="13">
      <c r="C236" s="89"/>
      <c r="D236" s="80"/>
    </row>
    <row r="237" spans="3:4" ht="13">
      <c r="C237" s="89"/>
      <c r="D237" s="80"/>
    </row>
    <row r="238" spans="3:4" ht="13">
      <c r="C238" s="89"/>
      <c r="D238" s="80"/>
    </row>
    <row r="239" spans="3:4" ht="13">
      <c r="C239" s="89"/>
      <c r="D239" s="80"/>
    </row>
    <row r="240" spans="3:4" ht="13">
      <c r="C240" s="89"/>
      <c r="D240" s="80"/>
    </row>
    <row r="241" spans="3:4" ht="13">
      <c r="C241" s="89"/>
      <c r="D241" s="80"/>
    </row>
    <row r="242" spans="3:4" ht="13">
      <c r="C242" s="89"/>
      <c r="D242" s="80"/>
    </row>
    <row r="243" spans="3:4" ht="13">
      <c r="C243" s="89"/>
      <c r="D243" s="80"/>
    </row>
    <row r="244" spans="3:4" ht="13">
      <c r="C244" s="89"/>
      <c r="D244" s="80"/>
    </row>
    <row r="245" spans="3:4" ht="13">
      <c r="C245" s="89"/>
      <c r="D245" s="80"/>
    </row>
    <row r="246" spans="3:4" ht="13">
      <c r="C246" s="89"/>
      <c r="D246" s="80"/>
    </row>
    <row r="247" spans="3:4" ht="13">
      <c r="C247" s="89"/>
      <c r="D247" s="80"/>
    </row>
    <row r="248" spans="3:4" ht="13">
      <c r="C248" s="89"/>
      <c r="D248" s="80"/>
    </row>
    <row r="249" spans="3:4" ht="13">
      <c r="C249" s="89"/>
      <c r="D249" s="80"/>
    </row>
    <row r="250" spans="3:4" ht="13">
      <c r="C250" s="89"/>
      <c r="D250" s="80"/>
    </row>
    <row r="251" spans="3:4" ht="13">
      <c r="C251" s="89"/>
      <c r="D251" s="80"/>
    </row>
    <row r="252" spans="3:4" ht="13">
      <c r="C252" s="89"/>
      <c r="D252" s="80"/>
    </row>
    <row r="253" spans="3:4" ht="13">
      <c r="C253" s="89"/>
      <c r="D253" s="80"/>
    </row>
    <row r="254" spans="3:4" ht="13">
      <c r="C254" s="89"/>
      <c r="D254" s="80"/>
    </row>
    <row r="255" spans="3:4" ht="13">
      <c r="C255" s="89"/>
      <c r="D255" s="80"/>
    </row>
    <row r="256" spans="3:4" ht="13">
      <c r="C256" s="89"/>
      <c r="D256" s="80"/>
    </row>
    <row r="257" spans="3:4" ht="13">
      <c r="C257" s="89"/>
      <c r="D257" s="80"/>
    </row>
    <row r="258" spans="3:4" ht="13">
      <c r="C258" s="89"/>
      <c r="D258" s="80"/>
    </row>
    <row r="259" spans="3:4" ht="13">
      <c r="C259" s="89"/>
      <c r="D259" s="80"/>
    </row>
    <row r="260" spans="3:4" ht="13">
      <c r="C260" s="89"/>
      <c r="D260" s="80"/>
    </row>
    <row r="261" spans="3:4" ht="13">
      <c r="C261" s="89"/>
      <c r="D261" s="80"/>
    </row>
    <row r="262" spans="3:4" ht="13">
      <c r="C262" s="89"/>
      <c r="D262" s="80"/>
    </row>
    <row r="263" spans="3:4" ht="13">
      <c r="C263" s="89"/>
      <c r="D263" s="80"/>
    </row>
    <row r="264" spans="3:4" ht="13">
      <c r="C264" s="89"/>
      <c r="D264" s="80"/>
    </row>
    <row r="265" spans="3:4" ht="13">
      <c r="C265" s="89"/>
      <c r="D265" s="80"/>
    </row>
    <row r="266" spans="3:4" ht="13">
      <c r="C266" s="89"/>
      <c r="D266" s="80"/>
    </row>
    <row r="267" spans="3:4" ht="13">
      <c r="C267" s="89"/>
      <c r="D267" s="80"/>
    </row>
    <row r="268" spans="3:4" ht="13">
      <c r="C268" s="89"/>
      <c r="D268" s="80"/>
    </row>
    <row r="269" spans="3:4" ht="13">
      <c r="C269" s="89"/>
      <c r="D269" s="80"/>
    </row>
    <row r="270" spans="3:4" ht="13">
      <c r="C270" s="89"/>
      <c r="D270" s="80"/>
    </row>
    <row r="271" spans="3:4" ht="13">
      <c r="C271" s="89"/>
      <c r="D271" s="80"/>
    </row>
    <row r="272" spans="3:4" ht="13">
      <c r="C272" s="89"/>
      <c r="D272" s="80"/>
    </row>
    <row r="273" spans="3:4" ht="13">
      <c r="C273" s="89"/>
      <c r="D273" s="80"/>
    </row>
    <row r="274" spans="3:4" ht="13">
      <c r="C274" s="89"/>
      <c r="D274" s="80"/>
    </row>
    <row r="275" spans="3:4" ht="13">
      <c r="C275" s="89"/>
      <c r="D275" s="80"/>
    </row>
    <row r="276" spans="3:4" ht="13">
      <c r="C276" s="89"/>
      <c r="D276" s="80"/>
    </row>
    <row r="277" spans="3:4" ht="13">
      <c r="C277" s="89"/>
      <c r="D277" s="80"/>
    </row>
    <row r="278" spans="3:4" ht="13">
      <c r="C278" s="89"/>
      <c r="D278" s="80"/>
    </row>
    <row r="279" spans="3:4" ht="13">
      <c r="C279" s="89"/>
      <c r="D279" s="80"/>
    </row>
    <row r="280" spans="3:4" ht="13">
      <c r="C280" s="89"/>
      <c r="D280" s="80"/>
    </row>
    <row r="281" spans="3:4" ht="13">
      <c r="C281" s="89"/>
      <c r="D281" s="80"/>
    </row>
    <row r="282" spans="3:4" ht="13">
      <c r="C282" s="89"/>
      <c r="D282" s="80"/>
    </row>
    <row r="283" spans="3:4" ht="13">
      <c r="C283" s="89"/>
      <c r="D283" s="80"/>
    </row>
    <row r="284" spans="3:4" ht="13">
      <c r="C284" s="89"/>
      <c r="D284" s="80"/>
    </row>
    <row r="285" spans="3:4" ht="13">
      <c r="C285" s="89"/>
      <c r="D285" s="80"/>
    </row>
    <row r="286" spans="3:4" ht="13">
      <c r="C286" s="89"/>
      <c r="D286" s="80"/>
    </row>
    <row r="287" spans="3:4" ht="13">
      <c r="C287" s="89"/>
      <c r="D287" s="80"/>
    </row>
    <row r="288" spans="3:4" ht="13">
      <c r="C288" s="89"/>
      <c r="D288" s="80"/>
    </row>
    <row r="289" spans="3:4" ht="13">
      <c r="C289" s="89"/>
      <c r="D289" s="80"/>
    </row>
    <row r="290" spans="3:4" ht="13">
      <c r="C290" s="89"/>
      <c r="D290" s="80"/>
    </row>
    <row r="291" spans="3:4" ht="13">
      <c r="C291" s="89"/>
      <c r="D291" s="80"/>
    </row>
    <row r="292" spans="3:4" ht="13">
      <c r="C292" s="89"/>
      <c r="D292" s="80"/>
    </row>
    <row r="293" spans="3:4" ht="13">
      <c r="C293" s="89"/>
      <c r="D293" s="80"/>
    </row>
    <row r="294" spans="3:4" ht="13">
      <c r="C294" s="89"/>
      <c r="D294" s="80"/>
    </row>
    <row r="295" spans="3:4" ht="13">
      <c r="C295" s="89"/>
      <c r="D295" s="80"/>
    </row>
    <row r="296" spans="3:4" ht="13">
      <c r="C296" s="89"/>
      <c r="D296" s="80"/>
    </row>
    <row r="297" spans="3:4" ht="13">
      <c r="C297" s="89"/>
      <c r="D297" s="80"/>
    </row>
    <row r="298" spans="3:4" ht="13">
      <c r="C298" s="89"/>
      <c r="D298" s="80"/>
    </row>
    <row r="299" spans="3:4" ht="13">
      <c r="C299" s="89"/>
      <c r="D299" s="80"/>
    </row>
    <row r="300" spans="3:4" ht="13">
      <c r="C300" s="89"/>
      <c r="D300" s="80"/>
    </row>
    <row r="301" spans="3:4" ht="13">
      <c r="C301" s="89"/>
      <c r="D301" s="80"/>
    </row>
    <row r="302" spans="3:4" ht="13">
      <c r="C302" s="89"/>
      <c r="D302" s="80"/>
    </row>
    <row r="303" spans="3:4" ht="13">
      <c r="C303" s="89"/>
      <c r="D303" s="80"/>
    </row>
    <row r="304" spans="3:4" ht="13">
      <c r="C304" s="89"/>
      <c r="D304" s="80"/>
    </row>
    <row r="305" spans="3:4" ht="13">
      <c r="C305" s="89"/>
      <c r="D305" s="80"/>
    </row>
    <row r="306" spans="3:4" ht="13">
      <c r="C306" s="89"/>
      <c r="D306" s="80"/>
    </row>
    <row r="307" spans="3:4" ht="13">
      <c r="C307" s="89"/>
      <c r="D307" s="80"/>
    </row>
    <row r="308" spans="3:4" ht="13">
      <c r="C308" s="89"/>
      <c r="D308" s="80"/>
    </row>
    <row r="309" spans="3:4" ht="13">
      <c r="C309" s="89"/>
      <c r="D309" s="80"/>
    </row>
    <row r="310" spans="3:4" ht="13">
      <c r="C310" s="89"/>
      <c r="D310" s="80"/>
    </row>
    <row r="311" spans="3:4" ht="13">
      <c r="C311" s="89"/>
      <c r="D311" s="80"/>
    </row>
    <row r="312" spans="3:4" ht="13">
      <c r="C312" s="89"/>
      <c r="D312" s="80"/>
    </row>
    <row r="313" spans="3:4" ht="13">
      <c r="C313" s="89"/>
      <c r="D313" s="80"/>
    </row>
    <row r="314" spans="3:4" ht="13">
      <c r="C314" s="89"/>
      <c r="D314" s="80"/>
    </row>
    <row r="315" spans="3:4" ht="13">
      <c r="C315" s="89"/>
      <c r="D315" s="80"/>
    </row>
    <row r="316" spans="3:4" ht="13">
      <c r="C316" s="89"/>
      <c r="D316" s="80"/>
    </row>
    <row r="317" spans="3:4" ht="13">
      <c r="C317" s="89"/>
      <c r="D317" s="80"/>
    </row>
    <row r="318" spans="3:4" ht="13">
      <c r="C318" s="89"/>
      <c r="D318" s="80"/>
    </row>
    <row r="319" spans="3:4" ht="13">
      <c r="C319" s="89"/>
      <c r="D319" s="80"/>
    </row>
    <row r="320" spans="3:4" ht="13">
      <c r="C320" s="89"/>
      <c r="D320" s="80"/>
    </row>
    <row r="321" spans="3:4" ht="13">
      <c r="C321" s="89"/>
      <c r="D321" s="80"/>
    </row>
    <row r="322" spans="3:4" ht="13">
      <c r="C322" s="89"/>
      <c r="D322" s="80"/>
    </row>
    <row r="323" spans="3:4" ht="13">
      <c r="C323" s="89"/>
      <c r="D323" s="80"/>
    </row>
    <row r="324" spans="3:4" ht="13">
      <c r="C324" s="89"/>
      <c r="D324" s="80"/>
    </row>
    <row r="325" spans="3:4" ht="13">
      <c r="C325" s="89"/>
      <c r="D325" s="80"/>
    </row>
    <row r="326" spans="3:4" ht="13">
      <c r="C326" s="89"/>
      <c r="D326" s="80"/>
    </row>
    <row r="327" spans="3:4" ht="13">
      <c r="C327" s="89"/>
      <c r="D327" s="80"/>
    </row>
    <row r="328" spans="3:4" ht="13">
      <c r="C328" s="89"/>
      <c r="D328" s="80"/>
    </row>
    <row r="329" spans="3:4" ht="13">
      <c r="C329" s="89"/>
      <c r="D329" s="80"/>
    </row>
    <row r="330" spans="3:4" ht="13">
      <c r="C330" s="89"/>
      <c r="D330" s="80"/>
    </row>
    <row r="331" spans="3:4" ht="13">
      <c r="C331" s="89"/>
      <c r="D331" s="80"/>
    </row>
    <row r="332" spans="3:4" ht="13">
      <c r="C332" s="89"/>
      <c r="D332" s="80"/>
    </row>
    <row r="333" spans="3:4" ht="13">
      <c r="C333" s="89"/>
      <c r="D333" s="80"/>
    </row>
    <row r="334" spans="3:4" ht="13">
      <c r="C334" s="89"/>
      <c r="D334" s="80"/>
    </row>
    <row r="335" spans="3:4" ht="13">
      <c r="C335" s="89"/>
      <c r="D335" s="80"/>
    </row>
    <row r="336" spans="3:4" ht="13">
      <c r="C336" s="89"/>
      <c r="D336" s="80"/>
    </row>
    <row r="337" spans="3:4" ht="13">
      <c r="C337" s="89"/>
      <c r="D337" s="80"/>
    </row>
    <row r="338" spans="3:4" ht="13">
      <c r="C338" s="89"/>
      <c r="D338" s="80"/>
    </row>
    <row r="339" spans="3:4" ht="13">
      <c r="C339" s="89"/>
      <c r="D339" s="80"/>
    </row>
    <row r="340" spans="3:4" ht="13">
      <c r="C340" s="89"/>
      <c r="D340" s="80"/>
    </row>
    <row r="341" spans="3:4" ht="13">
      <c r="C341" s="89"/>
      <c r="D341" s="80"/>
    </row>
    <row r="342" spans="3:4" ht="13">
      <c r="C342" s="89"/>
      <c r="D342" s="80"/>
    </row>
    <row r="343" spans="3:4" ht="13">
      <c r="C343" s="89"/>
      <c r="D343" s="80"/>
    </row>
    <row r="344" spans="3:4" ht="13">
      <c r="C344" s="89"/>
      <c r="D344" s="80"/>
    </row>
    <row r="345" spans="3:4" ht="13">
      <c r="C345" s="89"/>
      <c r="D345" s="80"/>
    </row>
    <row r="346" spans="3:4" ht="13">
      <c r="C346" s="89"/>
      <c r="D346" s="80"/>
    </row>
    <row r="347" spans="3:4" ht="13">
      <c r="C347" s="89"/>
      <c r="D347" s="80"/>
    </row>
    <row r="348" spans="3:4" ht="13">
      <c r="C348" s="89"/>
      <c r="D348" s="80"/>
    </row>
    <row r="349" spans="3:4" ht="13">
      <c r="C349" s="89"/>
      <c r="D349" s="80"/>
    </row>
    <row r="350" spans="3:4" ht="13">
      <c r="C350" s="89"/>
      <c r="D350" s="80"/>
    </row>
    <row r="351" spans="3:4" ht="13">
      <c r="C351" s="89"/>
      <c r="D351" s="80"/>
    </row>
    <row r="352" spans="3:4" ht="13">
      <c r="C352" s="89"/>
      <c r="D352" s="80"/>
    </row>
    <row r="353" spans="3:4" ht="13">
      <c r="C353" s="89"/>
      <c r="D353" s="80"/>
    </row>
    <row r="354" spans="3:4" ht="13">
      <c r="C354" s="89"/>
      <c r="D354" s="80"/>
    </row>
    <row r="355" spans="3:4" ht="13">
      <c r="C355" s="89"/>
      <c r="D355" s="80"/>
    </row>
    <row r="356" spans="3:4" ht="13">
      <c r="C356" s="89"/>
      <c r="D356" s="80"/>
    </row>
    <row r="357" spans="3:4" ht="13">
      <c r="C357" s="89"/>
      <c r="D357" s="80"/>
    </row>
    <row r="358" spans="3:4" ht="13">
      <c r="C358" s="89"/>
      <c r="D358" s="80"/>
    </row>
    <row r="359" spans="3:4" ht="13">
      <c r="C359" s="89"/>
      <c r="D359" s="80"/>
    </row>
    <row r="360" spans="3:4" ht="13">
      <c r="C360" s="89"/>
      <c r="D360" s="80"/>
    </row>
    <row r="361" spans="3:4" ht="13">
      <c r="C361" s="89"/>
      <c r="D361" s="80"/>
    </row>
    <row r="362" spans="3:4" ht="13">
      <c r="C362" s="89"/>
      <c r="D362" s="80"/>
    </row>
    <row r="363" spans="3:4" ht="13">
      <c r="C363" s="89"/>
      <c r="D363" s="80"/>
    </row>
    <row r="364" spans="3:4" ht="13">
      <c r="C364" s="89"/>
      <c r="D364" s="80"/>
    </row>
    <row r="365" spans="3:4" ht="13">
      <c r="C365" s="89"/>
      <c r="D365" s="80"/>
    </row>
    <row r="366" spans="3:4" ht="13">
      <c r="C366" s="89"/>
      <c r="D366" s="80"/>
    </row>
    <row r="367" spans="3:4" ht="13">
      <c r="C367" s="89"/>
      <c r="D367" s="80"/>
    </row>
    <row r="368" spans="3:4" ht="13">
      <c r="C368" s="89"/>
      <c r="D368" s="80"/>
    </row>
    <row r="369" spans="3:4" ht="13">
      <c r="C369" s="89"/>
      <c r="D369" s="80"/>
    </row>
    <row r="370" spans="3:4" ht="13">
      <c r="C370" s="89"/>
      <c r="D370" s="80"/>
    </row>
    <row r="371" spans="3:4" ht="13">
      <c r="C371" s="89"/>
      <c r="D371" s="80"/>
    </row>
    <row r="372" spans="3:4" ht="13">
      <c r="C372" s="89"/>
      <c r="D372" s="80"/>
    </row>
    <row r="373" spans="3:4" ht="13">
      <c r="C373" s="89"/>
      <c r="D373" s="80"/>
    </row>
    <row r="374" spans="3:4" ht="13">
      <c r="C374" s="89"/>
      <c r="D374" s="80"/>
    </row>
    <row r="375" spans="3:4" ht="13">
      <c r="C375" s="89"/>
      <c r="D375" s="80"/>
    </row>
    <row r="376" spans="3:4" ht="13">
      <c r="C376" s="89"/>
      <c r="D376" s="80"/>
    </row>
    <row r="377" spans="3:4" ht="13">
      <c r="C377" s="89"/>
      <c r="D377" s="80"/>
    </row>
    <row r="378" spans="3:4" ht="13">
      <c r="C378" s="89"/>
      <c r="D378" s="80"/>
    </row>
    <row r="379" spans="3:4" ht="13">
      <c r="C379" s="89"/>
      <c r="D379" s="80"/>
    </row>
    <row r="380" spans="3:4" ht="13">
      <c r="C380" s="89"/>
      <c r="D380" s="80"/>
    </row>
    <row r="381" spans="3:4" ht="13">
      <c r="C381" s="89"/>
      <c r="D381" s="80"/>
    </row>
    <row r="382" spans="3:4" ht="13">
      <c r="C382" s="89"/>
      <c r="D382" s="80"/>
    </row>
    <row r="383" spans="3:4" ht="13">
      <c r="C383" s="89"/>
      <c r="D383" s="80"/>
    </row>
    <row r="384" spans="3:4" ht="13">
      <c r="C384" s="89"/>
      <c r="D384" s="80"/>
    </row>
    <row r="385" spans="3:4" ht="13">
      <c r="C385" s="89"/>
      <c r="D385" s="80"/>
    </row>
    <row r="386" spans="3:4" ht="13">
      <c r="C386" s="89"/>
      <c r="D386" s="80"/>
    </row>
    <row r="387" spans="3:4" ht="13">
      <c r="C387" s="89"/>
      <c r="D387" s="80"/>
    </row>
    <row r="388" spans="3:4" ht="13">
      <c r="C388" s="89"/>
      <c r="D388" s="80"/>
    </row>
    <row r="389" spans="3:4" ht="13">
      <c r="C389" s="89"/>
      <c r="D389" s="80"/>
    </row>
    <row r="390" spans="3:4" ht="13">
      <c r="C390" s="89"/>
      <c r="D390" s="80"/>
    </row>
    <row r="391" spans="3:4" ht="13">
      <c r="C391" s="89"/>
      <c r="D391" s="80"/>
    </row>
    <row r="392" spans="3:4" ht="13">
      <c r="C392" s="89"/>
      <c r="D392" s="80"/>
    </row>
    <row r="393" spans="3:4" ht="13">
      <c r="C393" s="89"/>
      <c r="D393" s="80"/>
    </row>
    <row r="394" spans="3:4" ht="13">
      <c r="C394" s="89"/>
      <c r="D394" s="80"/>
    </row>
    <row r="395" spans="3:4" ht="13">
      <c r="C395" s="89"/>
      <c r="D395" s="80"/>
    </row>
    <row r="396" spans="3:4" ht="13">
      <c r="C396" s="89"/>
      <c r="D396" s="80"/>
    </row>
    <row r="397" spans="3:4" ht="13">
      <c r="C397" s="89"/>
      <c r="D397" s="80"/>
    </row>
    <row r="398" spans="3:4" ht="13">
      <c r="C398" s="89"/>
      <c r="D398" s="80"/>
    </row>
    <row r="399" spans="3:4" ht="13">
      <c r="C399" s="89"/>
      <c r="D399" s="80"/>
    </row>
    <row r="400" spans="3:4" ht="13">
      <c r="C400" s="89"/>
      <c r="D400" s="80"/>
    </row>
    <row r="401" spans="3:4" ht="13">
      <c r="C401" s="89"/>
      <c r="D401" s="80"/>
    </row>
    <row r="402" spans="3:4" ht="13">
      <c r="C402" s="89"/>
      <c r="D402" s="80"/>
    </row>
    <row r="403" spans="3:4" ht="13">
      <c r="C403" s="89"/>
      <c r="D403" s="80"/>
    </row>
    <row r="404" spans="3:4" ht="13">
      <c r="C404" s="89"/>
      <c r="D404" s="80"/>
    </row>
    <row r="405" spans="3:4" ht="13">
      <c r="C405" s="89"/>
      <c r="D405" s="80"/>
    </row>
    <row r="406" spans="3:4" ht="13">
      <c r="C406" s="89"/>
      <c r="D406" s="80"/>
    </row>
    <row r="407" spans="3:4" ht="13">
      <c r="C407" s="89"/>
      <c r="D407" s="80"/>
    </row>
    <row r="408" spans="3:4" ht="13">
      <c r="C408" s="89"/>
      <c r="D408" s="80"/>
    </row>
    <row r="409" spans="3:4" ht="13">
      <c r="C409" s="89"/>
      <c r="D409" s="80"/>
    </row>
    <row r="410" spans="3:4" ht="13">
      <c r="C410" s="89"/>
      <c r="D410" s="80"/>
    </row>
    <row r="411" spans="3:4" ht="13">
      <c r="C411" s="89"/>
      <c r="D411" s="80"/>
    </row>
    <row r="412" spans="3:4" ht="13">
      <c r="C412" s="89"/>
      <c r="D412" s="80"/>
    </row>
    <row r="413" spans="3:4" ht="13">
      <c r="C413" s="89"/>
      <c r="D413" s="80"/>
    </row>
    <row r="414" spans="3:4" ht="13">
      <c r="C414" s="89"/>
      <c r="D414" s="80"/>
    </row>
    <row r="415" spans="3:4" ht="13">
      <c r="C415" s="89"/>
      <c r="D415" s="80"/>
    </row>
    <row r="416" spans="3:4" ht="13">
      <c r="C416" s="89"/>
      <c r="D416" s="80"/>
    </row>
    <row r="417" spans="3:4" ht="13">
      <c r="C417" s="89"/>
      <c r="D417" s="80"/>
    </row>
    <row r="418" spans="3:4" ht="13">
      <c r="C418" s="89"/>
      <c r="D418" s="80"/>
    </row>
    <row r="419" spans="3:4" ht="13">
      <c r="C419" s="89"/>
      <c r="D419" s="80"/>
    </row>
    <row r="420" spans="3:4" ht="13">
      <c r="C420" s="89"/>
      <c r="D420" s="80"/>
    </row>
    <row r="421" spans="3:4" ht="13">
      <c r="C421" s="89"/>
      <c r="D421" s="80"/>
    </row>
    <row r="422" spans="3:4" ht="13">
      <c r="C422" s="89"/>
      <c r="D422" s="80"/>
    </row>
    <row r="423" spans="3:4" ht="13">
      <c r="C423" s="89"/>
      <c r="D423" s="80"/>
    </row>
    <row r="424" spans="3:4" ht="13">
      <c r="C424" s="89"/>
      <c r="D424" s="80"/>
    </row>
    <row r="425" spans="3:4" ht="13">
      <c r="C425" s="89"/>
      <c r="D425" s="80"/>
    </row>
    <row r="426" spans="3:4" ht="13">
      <c r="C426" s="89"/>
      <c r="D426" s="80"/>
    </row>
    <row r="427" spans="3:4" ht="13">
      <c r="C427" s="89"/>
      <c r="D427" s="80"/>
    </row>
    <row r="428" spans="3:4" ht="13">
      <c r="C428" s="89"/>
      <c r="D428" s="80"/>
    </row>
    <row r="429" spans="3:4" ht="13">
      <c r="C429" s="89"/>
      <c r="D429" s="80"/>
    </row>
    <row r="430" spans="3:4" ht="13">
      <c r="C430" s="89"/>
      <c r="D430" s="80"/>
    </row>
    <row r="431" spans="3:4" ht="13">
      <c r="C431" s="89"/>
      <c r="D431" s="80"/>
    </row>
    <row r="432" spans="3:4" ht="13">
      <c r="C432" s="89"/>
      <c r="D432" s="80"/>
    </row>
    <row r="433" spans="3:4" ht="13">
      <c r="C433" s="89"/>
      <c r="D433" s="80"/>
    </row>
    <row r="434" spans="3:4" ht="13">
      <c r="C434" s="89"/>
      <c r="D434" s="80"/>
    </row>
    <row r="435" spans="3:4" ht="13">
      <c r="C435" s="89"/>
      <c r="D435" s="80"/>
    </row>
    <row r="436" spans="3:4" ht="13">
      <c r="C436" s="89"/>
      <c r="D436" s="80"/>
    </row>
    <row r="437" spans="3:4" ht="13">
      <c r="C437" s="89"/>
      <c r="D437" s="80"/>
    </row>
    <row r="438" spans="3:4" ht="13">
      <c r="C438" s="89"/>
      <c r="D438" s="80"/>
    </row>
    <row r="439" spans="3:4" ht="13">
      <c r="C439" s="89"/>
      <c r="D439" s="80"/>
    </row>
    <row r="440" spans="3:4" ht="13">
      <c r="C440" s="89"/>
      <c r="D440" s="80"/>
    </row>
    <row r="441" spans="3:4" ht="13">
      <c r="C441" s="89"/>
      <c r="D441" s="80"/>
    </row>
    <row r="442" spans="3:4" ht="13">
      <c r="C442" s="89"/>
      <c r="D442" s="80"/>
    </row>
    <row r="443" spans="3:4" ht="13">
      <c r="C443" s="89"/>
      <c r="D443" s="80"/>
    </row>
    <row r="444" spans="3:4" ht="13">
      <c r="C444" s="89"/>
      <c r="D444" s="80"/>
    </row>
    <row r="445" spans="3:4" ht="13">
      <c r="C445" s="89"/>
      <c r="D445" s="80"/>
    </row>
    <row r="446" spans="3:4" ht="13">
      <c r="C446" s="89"/>
      <c r="D446" s="80"/>
    </row>
    <row r="447" spans="3:4" ht="13">
      <c r="C447" s="89"/>
      <c r="D447" s="80"/>
    </row>
    <row r="448" spans="3:4" ht="13">
      <c r="C448" s="89"/>
      <c r="D448" s="80"/>
    </row>
    <row r="449" spans="3:4" ht="13">
      <c r="C449" s="89"/>
      <c r="D449" s="80"/>
    </row>
    <row r="450" spans="3:4" ht="13">
      <c r="C450" s="89"/>
      <c r="D450" s="80"/>
    </row>
    <row r="451" spans="3:4" ht="13">
      <c r="C451" s="89"/>
      <c r="D451" s="80"/>
    </row>
    <row r="452" spans="3:4" ht="13">
      <c r="C452" s="89"/>
      <c r="D452" s="80"/>
    </row>
    <row r="453" spans="3:4" ht="13">
      <c r="C453" s="89"/>
      <c r="D453" s="80"/>
    </row>
    <row r="454" spans="3:4" ht="13">
      <c r="C454" s="89"/>
      <c r="D454" s="80"/>
    </row>
    <row r="455" spans="3:4" ht="13">
      <c r="C455" s="89"/>
      <c r="D455" s="80"/>
    </row>
    <row r="456" spans="3:4" ht="13">
      <c r="C456" s="89"/>
      <c r="D456" s="80"/>
    </row>
    <row r="457" spans="3:4" ht="13">
      <c r="C457" s="89"/>
      <c r="D457" s="80"/>
    </row>
    <row r="458" spans="3:4" ht="13">
      <c r="C458" s="89"/>
      <c r="D458" s="80"/>
    </row>
    <row r="459" spans="3:4" ht="13">
      <c r="C459" s="89"/>
      <c r="D459" s="80"/>
    </row>
    <row r="460" spans="3:4" ht="13">
      <c r="C460" s="89"/>
      <c r="D460" s="80"/>
    </row>
    <row r="461" spans="3:4" ht="13">
      <c r="C461" s="89"/>
      <c r="D461" s="80"/>
    </row>
    <row r="462" spans="3:4" ht="13">
      <c r="C462" s="89"/>
      <c r="D462" s="80"/>
    </row>
    <row r="463" spans="3:4" ht="13">
      <c r="C463" s="89"/>
      <c r="D463" s="80"/>
    </row>
    <row r="464" spans="3:4" ht="13">
      <c r="C464" s="89"/>
      <c r="D464" s="80"/>
    </row>
    <row r="465" spans="3:4" ht="13">
      <c r="C465" s="89"/>
      <c r="D465" s="80"/>
    </row>
    <row r="466" spans="3:4" ht="13">
      <c r="C466" s="89"/>
      <c r="D466" s="80"/>
    </row>
    <row r="467" spans="3:4" ht="13">
      <c r="C467" s="89"/>
      <c r="D467" s="80"/>
    </row>
    <row r="468" spans="3:4" ht="13">
      <c r="C468" s="89"/>
      <c r="D468" s="80"/>
    </row>
    <row r="469" spans="3:4" ht="13">
      <c r="C469" s="89"/>
      <c r="D469" s="80"/>
    </row>
    <row r="470" spans="3:4" ht="13">
      <c r="C470" s="89"/>
      <c r="D470" s="80"/>
    </row>
    <row r="471" spans="3:4" ht="13">
      <c r="C471" s="89"/>
      <c r="D471" s="80"/>
    </row>
    <row r="472" spans="3:4" ht="13">
      <c r="C472" s="89"/>
      <c r="D472" s="80"/>
    </row>
    <row r="473" spans="3:4" ht="13">
      <c r="C473" s="89"/>
      <c r="D473" s="80"/>
    </row>
    <row r="474" spans="3:4" ht="13">
      <c r="C474" s="89"/>
      <c r="D474" s="80"/>
    </row>
    <row r="475" spans="3:4" ht="13">
      <c r="C475" s="89"/>
      <c r="D475" s="80"/>
    </row>
    <row r="476" spans="3:4" ht="13">
      <c r="C476" s="89"/>
      <c r="D476" s="80"/>
    </row>
    <row r="477" spans="3:4" ht="13">
      <c r="C477" s="89"/>
      <c r="D477" s="80"/>
    </row>
    <row r="478" spans="3:4" ht="13">
      <c r="C478" s="89"/>
      <c r="D478" s="80"/>
    </row>
    <row r="479" spans="3:4" ht="13">
      <c r="C479" s="89"/>
      <c r="D479" s="80"/>
    </row>
    <row r="480" spans="3:4" ht="13">
      <c r="C480" s="89"/>
      <c r="D480" s="80"/>
    </row>
    <row r="481" spans="3:4" ht="13">
      <c r="C481" s="89"/>
      <c r="D481" s="80"/>
    </row>
    <row r="482" spans="3:4" ht="13">
      <c r="C482" s="89"/>
      <c r="D482" s="80"/>
    </row>
    <row r="483" spans="3:4" ht="13">
      <c r="C483" s="89"/>
      <c r="D483" s="80"/>
    </row>
    <row r="484" spans="3:4" ht="13">
      <c r="C484" s="89"/>
      <c r="D484" s="80"/>
    </row>
    <row r="485" spans="3:4" ht="13">
      <c r="C485" s="89"/>
      <c r="D485" s="80"/>
    </row>
    <row r="486" spans="3:4" ht="13">
      <c r="C486" s="89"/>
      <c r="D486" s="80"/>
    </row>
    <row r="487" spans="3:4" ht="13">
      <c r="C487" s="89"/>
      <c r="D487" s="80"/>
    </row>
    <row r="488" spans="3:4" ht="13">
      <c r="C488" s="89"/>
      <c r="D488" s="80"/>
    </row>
    <row r="489" spans="3:4" ht="13">
      <c r="C489" s="89"/>
      <c r="D489" s="80"/>
    </row>
    <row r="490" spans="3:4" ht="13">
      <c r="C490" s="89"/>
      <c r="D490" s="80"/>
    </row>
    <row r="491" spans="3:4" ht="13">
      <c r="C491" s="89"/>
      <c r="D491" s="80"/>
    </row>
    <row r="492" spans="3:4" ht="13">
      <c r="C492" s="89"/>
      <c r="D492" s="80"/>
    </row>
    <row r="493" spans="3:4" ht="13">
      <c r="C493" s="89"/>
      <c r="D493" s="80"/>
    </row>
    <row r="494" spans="3:4" ht="13">
      <c r="C494" s="89"/>
      <c r="D494" s="80"/>
    </row>
    <row r="495" spans="3:4" ht="13">
      <c r="C495" s="89"/>
      <c r="D495" s="80"/>
    </row>
    <row r="496" spans="3:4" ht="13">
      <c r="C496" s="89"/>
      <c r="D496" s="80"/>
    </row>
    <row r="497" spans="3:4" ht="13">
      <c r="C497" s="89"/>
      <c r="D497" s="80"/>
    </row>
    <row r="498" spans="3:4" ht="13">
      <c r="C498" s="89"/>
      <c r="D498" s="80"/>
    </row>
    <row r="499" spans="3:4" ht="13">
      <c r="C499" s="89"/>
      <c r="D499" s="80"/>
    </row>
    <row r="500" spans="3:4" ht="13">
      <c r="C500" s="89"/>
      <c r="D500" s="80"/>
    </row>
    <row r="501" spans="3:4" ht="13">
      <c r="C501" s="89"/>
      <c r="D501" s="80"/>
    </row>
    <row r="502" spans="3:4" ht="13">
      <c r="C502" s="89"/>
      <c r="D502" s="80"/>
    </row>
    <row r="503" spans="3:4" ht="13">
      <c r="C503" s="89"/>
      <c r="D503" s="80"/>
    </row>
    <row r="504" spans="3:4" ht="13">
      <c r="C504" s="89"/>
      <c r="D504" s="80"/>
    </row>
    <row r="505" spans="3:4" ht="13">
      <c r="C505" s="89"/>
      <c r="D505" s="80"/>
    </row>
    <row r="506" spans="3:4" ht="13">
      <c r="C506" s="89"/>
      <c r="D506" s="80"/>
    </row>
    <row r="507" spans="3:4" ht="13">
      <c r="C507" s="89"/>
      <c r="D507" s="80"/>
    </row>
    <row r="508" spans="3:4" ht="13">
      <c r="C508" s="89"/>
      <c r="D508" s="80"/>
    </row>
    <row r="509" spans="3:4" ht="13">
      <c r="C509" s="89"/>
      <c r="D509" s="80"/>
    </row>
    <row r="510" spans="3:4" ht="13">
      <c r="C510" s="89"/>
      <c r="D510" s="80"/>
    </row>
    <row r="511" spans="3:4" ht="13">
      <c r="C511" s="89"/>
      <c r="D511" s="80"/>
    </row>
    <row r="512" spans="3:4" ht="13">
      <c r="C512" s="89"/>
      <c r="D512" s="80"/>
    </row>
    <row r="513" spans="3:4" ht="13">
      <c r="C513" s="89"/>
      <c r="D513" s="80"/>
    </row>
    <row r="514" spans="3:4" ht="13">
      <c r="C514" s="89"/>
      <c r="D514" s="80"/>
    </row>
    <row r="515" spans="3:4" ht="13">
      <c r="C515" s="89"/>
      <c r="D515" s="80"/>
    </row>
    <row r="516" spans="3:4" ht="13">
      <c r="C516" s="89"/>
      <c r="D516" s="80"/>
    </row>
    <row r="517" spans="3:4" ht="13">
      <c r="C517" s="89"/>
      <c r="D517" s="80"/>
    </row>
    <row r="518" spans="3:4" ht="13">
      <c r="C518" s="89"/>
      <c r="D518" s="80"/>
    </row>
    <row r="519" spans="3:4" ht="13">
      <c r="C519" s="89"/>
      <c r="D519" s="80"/>
    </row>
    <row r="520" spans="3:4" ht="13">
      <c r="C520" s="89"/>
      <c r="D520" s="80"/>
    </row>
    <row r="521" spans="3:4" ht="13">
      <c r="C521" s="89"/>
      <c r="D521" s="80"/>
    </row>
    <row r="522" spans="3:4" ht="13">
      <c r="C522" s="89"/>
      <c r="D522" s="80"/>
    </row>
    <row r="523" spans="3:4" ht="13">
      <c r="C523" s="89"/>
      <c r="D523" s="80"/>
    </row>
    <row r="524" spans="3:4" ht="13">
      <c r="C524" s="89"/>
      <c r="D524" s="80"/>
    </row>
    <row r="525" spans="3:4" ht="13">
      <c r="C525" s="89"/>
      <c r="D525" s="80"/>
    </row>
    <row r="526" spans="3:4" ht="13">
      <c r="C526" s="89"/>
      <c r="D526" s="80"/>
    </row>
    <row r="527" spans="3:4" ht="13">
      <c r="C527" s="89"/>
      <c r="D527" s="80"/>
    </row>
    <row r="528" spans="3:4" ht="13">
      <c r="C528" s="89"/>
      <c r="D528" s="80"/>
    </row>
    <row r="529" spans="3:4" ht="13">
      <c r="C529" s="89"/>
      <c r="D529" s="80"/>
    </row>
    <row r="530" spans="3:4" ht="13">
      <c r="C530" s="89"/>
      <c r="D530" s="80"/>
    </row>
    <row r="531" spans="3:4" ht="13">
      <c r="C531" s="89"/>
      <c r="D531" s="80"/>
    </row>
    <row r="532" spans="3:4" ht="13">
      <c r="C532" s="89"/>
      <c r="D532" s="80"/>
    </row>
    <row r="533" spans="3:4" ht="13">
      <c r="C533" s="89"/>
      <c r="D533" s="80"/>
    </row>
    <row r="534" spans="3:4" ht="13">
      <c r="C534" s="89"/>
      <c r="D534" s="80"/>
    </row>
    <row r="535" spans="3:4" ht="13">
      <c r="C535" s="89"/>
      <c r="D535" s="80"/>
    </row>
    <row r="536" spans="3:4" ht="13">
      <c r="C536" s="89"/>
      <c r="D536" s="80"/>
    </row>
    <row r="537" spans="3:4" ht="13">
      <c r="C537" s="89"/>
      <c r="D537" s="80"/>
    </row>
    <row r="538" spans="3:4" ht="13">
      <c r="C538" s="89"/>
      <c r="D538" s="80"/>
    </row>
    <row r="539" spans="3:4" ht="13">
      <c r="C539" s="89"/>
      <c r="D539" s="80"/>
    </row>
    <row r="540" spans="3:4" ht="13">
      <c r="C540" s="89"/>
      <c r="D540" s="80"/>
    </row>
    <row r="541" spans="3:4" ht="13">
      <c r="C541" s="89"/>
      <c r="D541" s="80"/>
    </row>
    <row r="542" spans="3:4" ht="13">
      <c r="C542" s="89"/>
      <c r="D542" s="80"/>
    </row>
    <row r="543" spans="3:4" ht="13">
      <c r="C543" s="89"/>
      <c r="D543" s="80"/>
    </row>
    <row r="544" spans="3:4" ht="13">
      <c r="C544" s="89"/>
      <c r="D544" s="80"/>
    </row>
    <row r="545" spans="3:4" ht="13">
      <c r="C545" s="89"/>
      <c r="D545" s="80"/>
    </row>
    <row r="546" spans="3:4" ht="13">
      <c r="C546" s="89"/>
      <c r="D546" s="80"/>
    </row>
    <row r="547" spans="3:4" ht="13">
      <c r="C547" s="89"/>
      <c r="D547" s="80"/>
    </row>
    <row r="548" spans="3:4" ht="13">
      <c r="C548" s="89"/>
      <c r="D548" s="80"/>
    </row>
    <row r="549" spans="3:4" ht="13">
      <c r="C549" s="89"/>
      <c r="D549" s="80"/>
    </row>
    <row r="550" spans="3:4" ht="13">
      <c r="C550" s="89"/>
      <c r="D550" s="80"/>
    </row>
    <row r="551" spans="3:4" ht="13">
      <c r="C551" s="89"/>
      <c r="D551" s="80"/>
    </row>
    <row r="552" spans="3:4" ht="13">
      <c r="C552" s="89"/>
      <c r="D552" s="80"/>
    </row>
    <row r="553" spans="3:4" ht="13">
      <c r="C553" s="89"/>
      <c r="D553" s="80"/>
    </row>
    <row r="554" spans="3:4" ht="13">
      <c r="C554" s="89"/>
      <c r="D554" s="80"/>
    </row>
    <row r="555" spans="3:4" ht="13">
      <c r="C555" s="89"/>
      <c r="D555" s="80"/>
    </row>
    <row r="556" spans="3:4" ht="13">
      <c r="C556" s="89"/>
      <c r="D556" s="80"/>
    </row>
    <row r="557" spans="3:4" ht="13">
      <c r="C557" s="89"/>
      <c r="D557" s="80"/>
    </row>
    <row r="558" spans="3:4" ht="13">
      <c r="C558" s="89"/>
      <c r="D558" s="80"/>
    </row>
    <row r="559" spans="3:4" ht="13">
      <c r="C559" s="89"/>
      <c r="D559" s="80"/>
    </row>
    <row r="560" spans="3:4" ht="13">
      <c r="C560" s="89"/>
      <c r="D560" s="80"/>
    </row>
    <row r="561" spans="3:4" ht="13">
      <c r="C561" s="89"/>
      <c r="D561" s="80"/>
    </row>
    <row r="562" spans="3:4" ht="13">
      <c r="C562" s="89"/>
      <c r="D562" s="80"/>
    </row>
    <row r="563" spans="3:4" ht="13">
      <c r="C563" s="89"/>
      <c r="D563" s="80"/>
    </row>
    <row r="564" spans="3:4" ht="13">
      <c r="C564" s="89"/>
      <c r="D564" s="80"/>
    </row>
    <row r="565" spans="3:4" ht="13">
      <c r="C565" s="89"/>
      <c r="D565" s="80"/>
    </row>
    <row r="566" spans="3:4" ht="13">
      <c r="C566" s="89"/>
      <c r="D566" s="80"/>
    </row>
    <row r="567" spans="3:4" ht="13">
      <c r="C567" s="89"/>
      <c r="D567" s="80"/>
    </row>
    <row r="568" spans="3:4" ht="13">
      <c r="C568" s="89"/>
      <c r="D568" s="80"/>
    </row>
    <row r="569" spans="3:4" ht="13">
      <c r="C569" s="89"/>
      <c r="D569" s="80"/>
    </row>
    <row r="570" spans="3:4" ht="13">
      <c r="C570" s="89"/>
      <c r="D570" s="80"/>
    </row>
    <row r="571" spans="3:4" ht="13">
      <c r="C571" s="89"/>
      <c r="D571" s="80"/>
    </row>
    <row r="572" spans="3:4" ht="13">
      <c r="C572" s="89"/>
      <c r="D572" s="80"/>
    </row>
    <row r="573" spans="3:4" ht="13">
      <c r="C573" s="89"/>
      <c r="D573" s="80"/>
    </row>
    <row r="574" spans="3:4" ht="13">
      <c r="C574" s="89"/>
      <c r="D574" s="80"/>
    </row>
    <row r="575" spans="3:4" ht="13">
      <c r="C575" s="89"/>
      <c r="D575" s="80"/>
    </row>
    <row r="576" spans="3:4" ht="13">
      <c r="C576" s="89"/>
      <c r="D576" s="80"/>
    </row>
    <row r="577" spans="3:4" ht="13">
      <c r="C577" s="89"/>
      <c r="D577" s="80"/>
    </row>
    <row r="578" spans="3:4" ht="13">
      <c r="C578" s="89"/>
      <c r="D578" s="80"/>
    </row>
    <row r="579" spans="3:4" ht="13">
      <c r="C579" s="89"/>
      <c r="D579" s="80"/>
    </row>
    <row r="580" spans="3:4" ht="13">
      <c r="C580" s="89"/>
      <c r="D580" s="80"/>
    </row>
    <row r="581" spans="3:4" ht="13">
      <c r="C581" s="89"/>
      <c r="D581" s="80"/>
    </row>
    <row r="582" spans="3:4" ht="13">
      <c r="C582" s="89"/>
      <c r="D582" s="80"/>
    </row>
    <row r="583" spans="3:4" ht="13">
      <c r="C583" s="89"/>
      <c r="D583" s="80"/>
    </row>
    <row r="584" spans="3:4" ht="13">
      <c r="C584" s="89"/>
      <c r="D584" s="80"/>
    </row>
    <row r="585" spans="3:4" ht="13">
      <c r="C585" s="89"/>
      <c r="D585" s="80"/>
    </row>
    <row r="586" spans="3:4" ht="13">
      <c r="C586" s="89"/>
      <c r="D586" s="80"/>
    </row>
    <row r="587" spans="3:4" ht="13">
      <c r="C587" s="89"/>
      <c r="D587" s="80"/>
    </row>
    <row r="588" spans="3:4" ht="13">
      <c r="C588" s="89"/>
      <c r="D588" s="80"/>
    </row>
    <row r="589" spans="3:4" ht="13">
      <c r="C589" s="89"/>
      <c r="D589" s="80"/>
    </row>
    <row r="590" spans="3:4" ht="13">
      <c r="C590" s="89"/>
      <c r="D590" s="80"/>
    </row>
    <row r="591" spans="3:4" ht="13">
      <c r="C591" s="89"/>
      <c r="D591" s="80"/>
    </row>
    <row r="592" spans="3:4" ht="13">
      <c r="C592" s="89"/>
      <c r="D592" s="80"/>
    </row>
    <row r="593" spans="3:4" ht="13">
      <c r="C593" s="89"/>
      <c r="D593" s="80"/>
    </row>
    <row r="594" spans="3:4" ht="13">
      <c r="C594" s="89"/>
      <c r="D594" s="80"/>
    </row>
    <row r="595" spans="3:4" ht="13">
      <c r="C595" s="89"/>
      <c r="D595" s="80"/>
    </row>
    <row r="596" spans="3:4" ht="13">
      <c r="C596" s="89"/>
      <c r="D596" s="80"/>
    </row>
    <row r="597" spans="3:4" ht="13">
      <c r="C597" s="89"/>
      <c r="D597" s="80"/>
    </row>
    <row r="598" spans="3:4" ht="13">
      <c r="C598" s="89"/>
      <c r="D598" s="80"/>
    </row>
    <row r="599" spans="3:4" ht="13">
      <c r="C599" s="89"/>
      <c r="D599" s="80"/>
    </row>
    <row r="600" spans="3:4" ht="13">
      <c r="C600" s="89"/>
      <c r="D600" s="80"/>
    </row>
    <row r="601" spans="3:4" ht="13">
      <c r="C601" s="89"/>
      <c r="D601" s="80"/>
    </row>
    <row r="602" spans="3:4" ht="13">
      <c r="C602" s="89"/>
      <c r="D602" s="80"/>
    </row>
    <row r="603" spans="3:4" ht="13">
      <c r="C603" s="89"/>
      <c r="D603" s="80"/>
    </row>
    <row r="604" spans="3:4" ht="13">
      <c r="C604" s="89"/>
      <c r="D604" s="80"/>
    </row>
    <row r="605" spans="3:4" ht="13">
      <c r="C605" s="89"/>
      <c r="D605" s="80"/>
    </row>
    <row r="606" spans="3:4" ht="13">
      <c r="C606" s="89"/>
      <c r="D606" s="80"/>
    </row>
    <row r="607" spans="3:4" ht="13">
      <c r="C607" s="89"/>
      <c r="D607" s="80"/>
    </row>
    <row r="608" spans="3:4" ht="13">
      <c r="C608" s="89"/>
      <c r="D608" s="80"/>
    </row>
    <row r="609" spans="3:4" ht="13">
      <c r="C609" s="89"/>
      <c r="D609" s="80"/>
    </row>
    <row r="610" spans="3:4" ht="13">
      <c r="C610" s="89"/>
      <c r="D610" s="80"/>
    </row>
    <row r="611" spans="3:4" ht="13">
      <c r="C611" s="89"/>
      <c r="D611" s="80"/>
    </row>
    <row r="612" spans="3:4" ht="13">
      <c r="C612" s="89"/>
      <c r="D612" s="80"/>
    </row>
    <row r="613" spans="3:4" ht="13">
      <c r="C613" s="89"/>
      <c r="D613" s="80"/>
    </row>
    <row r="614" spans="3:4" ht="13">
      <c r="C614" s="89"/>
      <c r="D614" s="80"/>
    </row>
    <row r="615" spans="3:4" ht="13">
      <c r="C615" s="89"/>
      <c r="D615" s="80"/>
    </row>
    <row r="616" spans="3:4" ht="13">
      <c r="C616" s="89"/>
      <c r="D616" s="80"/>
    </row>
    <row r="617" spans="3:4" ht="13">
      <c r="C617" s="89"/>
      <c r="D617" s="80"/>
    </row>
    <row r="618" spans="3:4" ht="13">
      <c r="C618" s="89"/>
      <c r="D618" s="80"/>
    </row>
    <row r="619" spans="3:4" ht="13">
      <c r="C619" s="89"/>
      <c r="D619" s="80"/>
    </row>
    <row r="620" spans="3:4" ht="13">
      <c r="C620" s="89"/>
      <c r="D620" s="80"/>
    </row>
    <row r="621" spans="3:4" ht="13">
      <c r="C621" s="89"/>
      <c r="D621" s="80"/>
    </row>
    <row r="622" spans="3:4" ht="13">
      <c r="C622" s="89"/>
      <c r="D622" s="80"/>
    </row>
    <row r="623" spans="3:4" ht="13">
      <c r="C623" s="89"/>
      <c r="D623" s="80"/>
    </row>
    <row r="624" spans="3:4" ht="13">
      <c r="C624" s="89"/>
      <c r="D624" s="80"/>
    </row>
    <row r="625" spans="3:4" ht="13">
      <c r="C625" s="89"/>
      <c r="D625" s="80"/>
    </row>
    <row r="626" spans="3:4" ht="13">
      <c r="C626" s="89"/>
      <c r="D626" s="80"/>
    </row>
    <row r="627" spans="3:4" ht="13">
      <c r="C627" s="89"/>
      <c r="D627" s="80"/>
    </row>
    <row r="628" spans="3:4" ht="13">
      <c r="C628" s="89"/>
      <c r="D628" s="80"/>
    </row>
    <row r="629" spans="3:4" ht="13">
      <c r="C629" s="89"/>
      <c r="D629" s="80"/>
    </row>
    <row r="630" spans="3:4" ht="13">
      <c r="C630" s="89"/>
      <c r="D630" s="80"/>
    </row>
    <row r="631" spans="3:4" ht="13">
      <c r="C631" s="89"/>
      <c r="D631" s="80"/>
    </row>
    <row r="632" spans="3:4" ht="13">
      <c r="C632" s="89"/>
      <c r="D632" s="80"/>
    </row>
    <row r="633" spans="3:4" ht="13">
      <c r="C633" s="89"/>
      <c r="D633" s="80"/>
    </row>
    <row r="634" spans="3:4" ht="13">
      <c r="C634" s="89"/>
      <c r="D634" s="80"/>
    </row>
    <row r="635" spans="3:4" ht="13">
      <c r="C635" s="89"/>
      <c r="D635" s="80"/>
    </row>
    <row r="636" spans="3:4" ht="13">
      <c r="C636" s="89"/>
      <c r="D636" s="80"/>
    </row>
    <row r="637" spans="3:4" ht="13">
      <c r="C637" s="89"/>
      <c r="D637" s="80"/>
    </row>
    <row r="638" spans="3:4" ht="13">
      <c r="C638" s="89"/>
      <c r="D638" s="80"/>
    </row>
    <row r="639" spans="3:4" ht="13">
      <c r="C639" s="89"/>
      <c r="D639" s="80"/>
    </row>
    <row r="640" spans="3:4" ht="13">
      <c r="C640" s="89"/>
      <c r="D640" s="80"/>
    </row>
    <row r="641" spans="3:4" ht="13">
      <c r="C641" s="89"/>
      <c r="D641" s="80"/>
    </row>
    <row r="642" spans="3:4" ht="13">
      <c r="C642" s="89"/>
      <c r="D642" s="80"/>
    </row>
    <row r="643" spans="3:4" ht="13">
      <c r="C643" s="89"/>
      <c r="D643" s="80"/>
    </row>
    <row r="644" spans="3:4" ht="13">
      <c r="C644" s="89"/>
      <c r="D644" s="80"/>
    </row>
    <row r="645" spans="3:4" ht="13">
      <c r="C645" s="89"/>
      <c r="D645" s="80"/>
    </row>
    <row r="646" spans="3:4" ht="13">
      <c r="C646" s="89"/>
      <c r="D646" s="80"/>
    </row>
    <row r="647" spans="3:4" ht="13">
      <c r="C647" s="89"/>
      <c r="D647" s="80"/>
    </row>
    <row r="648" spans="3:4" ht="13">
      <c r="C648" s="89"/>
      <c r="D648" s="80"/>
    </row>
    <row r="649" spans="3:4" ht="13">
      <c r="C649" s="89"/>
      <c r="D649" s="80"/>
    </row>
    <row r="650" spans="3:4" ht="13">
      <c r="C650" s="89"/>
      <c r="D650" s="80"/>
    </row>
    <row r="651" spans="3:4" ht="13">
      <c r="C651" s="89"/>
      <c r="D651" s="80"/>
    </row>
    <row r="652" spans="3:4" ht="13">
      <c r="C652" s="89"/>
      <c r="D652" s="80"/>
    </row>
    <row r="653" spans="3:4" ht="13">
      <c r="C653" s="89"/>
      <c r="D653" s="80"/>
    </row>
    <row r="654" spans="3:4" ht="13">
      <c r="C654" s="89"/>
      <c r="D654" s="80"/>
    </row>
    <row r="655" spans="3:4" ht="13">
      <c r="C655" s="89"/>
      <c r="D655" s="80"/>
    </row>
    <row r="656" spans="3:4" ht="13">
      <c r="C656" s="89"/>
      <c r="D656" s="80"/>
    </row>
    <row r="657" spans="3:4" ht="13">
      <c r="C657" s="89"/>
      <c r="D657" s="80"/>
    </row>
    <row r="658" spans="3:4" ht="13">
      <c r="C658" s="89"/>
      <c r="D658" s="80"/>
    </row>
    <row r="659" spans="3:4" ht="13">
      <c r="C659" s="89"/>
      <c r="D659" s="80"/>
    </row>
    <row r="660" spans="3:4" ht="13">
      <c r="C660" s="89"/>
      <c r="D660" s="80"/>
    </row>
    <row r="661" spans="3:4" ht="13">
      <c r="C661" s="89"/>
      <c r="D661" s="80"/>
    </row>
    <row r="662" spans="3:4" ht="13">
      <c r="C662" s="89"/>
      <c r="D662" s="80"/>
    </row>
    <row r="663" spans="3:4" ht="13">
      <c r="C663" s="89"/>
      <c r="D663" s="80"/>
    </row>
    <row r="664" spans="3:4" ht="13">
      <c r="C664" s="89"/>
      <c r="D664" s="80"/>
    </row>
    <row r="665" spans="3:4" ht="13">
      <c r="C665" s="89"/>
      <c r="D665" s="80"/>
    </row>
    <row r="666" spans="3:4" ht="13">
      <c r="C666" s="89"/>
      <c r="D666" s="80"/>
    </row>
    <row r="667" spans="3:4" ht="13">
      <c r="C667" s="89"/>
      <c r="D667" s="80"/>
    </row>
    <row r="668" spans="3:4" ht="13">
      <c r="C668" s="89"/>
      <c r="D668" s="80"/>
    </row>
    <row r="669" spans="3:4" ht="13">
      <c r="C669" s="89"/>
      <c r="D669" s="80"/>
    </row>
    <row r="670" spans="3:4" ht="13">
      <c r="C670" s="89"/>
      <c r="D670" s="80"/>
    </row>
    <row r="671" spans="3:4" ht="13">
      <c r="C671" s="89"/>
      <c r="D671" s="80"/>
    </row>
    <row r="672" spans="3:4" ht="13">
      <c r="C672" s="89"/>
      <c r="D672" s="80"/>
    </row>
    <row r="673" spans="3:4" ht="13">
      <c r="C673" s="89"/>
      <c r="D673" s="80"/>
    </row>
    <row r="674" spans="3:4" ht="13">
      <c r="C674" s="89"/>
      <c r="D674" s="80"/>
    </row>
    <row r="675" spans="3:4" ht="13">
      <c r="C675" s="89"/>
      <c r="D675" s="80"/>
    </row>
    <row r="676" spans="3:4" ht="13">
      <c r="C676" s="89"/>
      <c r="D676" s="80"/>
    </row>
    <row r="677" spans="3:4" ht="13">
      <c r="C677" s="89"/>
      <c r="D677" s="80"/>
    </row>
    <row r="678" spans="3:4" ht="13">
      <c r="C678" s="89"/>
      <c r="D678" s="80"/>
    </row>
    <row r="679" spans="3:4" ht="13">
      <c r="C679" s="89"/>
      <c r="D679" s="80"/>
    </row>
    <row r="680" spans="3:4" ht="13">
      <c r="C680" s="89"/>
      <c r="D680" s="80"/>
    </row>
    <row r="681" spans="3:4" ht="13">
      <c r="C681" s="89"/>
      <c r="D681" s="80"/>
    </row>
    <row r="682" spans="3:4" ht="13">
      <c r="C682" s="89"/>
      <c r="D682" s="80"/>
    </row>
    <row r="683" spans="3:4" ht="13">
      <c r="C683" s="89"/>
      <c r="D683" s="80"/>
    </row>
    <row r="684" spans="3:4" ht="13">
      <c r="C684" s="89"/>
      <c r="D684" s="80"/>
    </row>
    <row r="685" spans="3:4" ht="13">
      <c r="C685" s="89"/>
      <c r="D685" s="80"/>
    </row>
    <row r="686" spans="3:4" ht="13">
      <c r="C686" s="89"/>
      <c r="D686" s="80"/>
    </row>
    <row r="687" spans="3:4" ht="13">
      <c r="C687" s="89"/>
      <c r="D687" s="80"/>
    </row>
    <row r="688" spans="3:4" ht="13">
      <c r="C688" s="89"/>
      <c r="D688" s="80"/>
    </row>
    <row r="689" spans="3:4" ht="13">
      <c r="C689" s="89"/>
      <c r="D689" s="80"/>
    </row>
    <row r="690" spans="3:4" ht="13">
      <c r="C690" s="89"/>
      <c r="D690" s="80"/>
    </row>
    <row r="691" spans="3:4" ht="13">
      <c r="C691" s="89"/>
      <c r="D691" s="80"/>
    </row>
    <row r="692" spans="3:4" ht="13">
      <c r="C692" s="89"/>
      <c r="D692" s="80"/>
    </row>
    <row r="693" spans="3:4" ht="13">
      <c r="C693" s="89"/>
      <c r="D693" s="80"/>
    </row>
    <row r="694" spans="3:4" ht="13">
      <c r="C694" s="89"/>
      <c r="D694" s="80"/>
    </row>
    <row r="695" spans="3:4" ht="13">
      <c r="C695" s="89"/>
      <c r="D695" s="80"/>
    </row>
    <row r="696" spans="3:4" ht="13">
      <c r="C696" s="89"/>
      <c r="D696" s="80"/>
    </row>
    <row r="697" spans="3:4" ht="13">
      <c r="C697" s="89"/>
      <c r="D697" s="80"/>
    </row>
    <row r="698" spans="3:4" ht="13">
      <c r="C698" s="89"/>
      <c r="D698" s="80"/>
    </row>
    <row r="699" spans="3:4" ht="13">
      <c r="C699" s="89"/>
      <c r="D699" s="80"/>
    </row>
    <row r="700" spans="3:4" ht="13">
      <c r="C700" s="89"/>
      <c r="D700" s="80"/>
    </row>
    <row r="701" spans="3:4" ht="13">
      <c r="C701" s="89"/>
      <c r="D701" s="80"/>
    </row>
    <row r="702" spans="3:4" ht="13">
      <c r="C702" s="89"/>
      <c r="D702" s="80"/>
    </row>
    <row r="703" spans="3:4" ht="13">
      <c r="C703" s="89"/>
      <c r="D703" s="80"/>
    </row>
    <row r="704" spans="3:4" ht="13">
      <c r="C704" s="89"/>
      <c r="D704" s="80"/>
    </row>
    <row r="705" spans="3:4" ht="13">
      <c r="C705" s="89"/>
      <c r="D705" s="80"/>
    </row>
    <row r="706" spans="3:4" ht="13">
      <c r="C706" s="89"/>
      <c r="D706" s="80"/>
    </row>
    <row r="707" spans="3:4" ht="13">
      <c r="C707" s="89"/>
      <c r="D707" s="80"/>
    </row>
    <row r="708" spans="3:4" ht="13">
      <c r="C708" s="89"/>
      <c r="D708" s="80"/>
    </row>
    <row r="709" spans="3:4" ht="13">
      <c r="C709" s="89"/>
      <c r="D709" s="80"/>
    </row>
    <row r="710" spans="3:4" ht="13">
      <c r="C710" s="89"/>
      <c r="D710" s="80"/>
    </row>
    <row r="711" spans="3:4" ht="13">
      <c r="C711" s="89"/>
      <c r="D711" s="80"/>
    </row>
    <row r="712" spans="3:4" ht="13">
      <c r="C712" s="89"/>
      <c r="D712" s="80"/>
    </row>
    <row r="713" spans="3:4" ht="13">
      <c r="C713" s="89"/>
      <c r="D713" s="80"/>
    </row>
    <row r="714" spans="3:4" ht="13">
      <c r="C714" s="89"/>
      <c r="D714" s="80"/>
    </row>
    <row r="715" spans="3:4" ht="13">
      <c r="C715" s="89"/>
      <c r="D715" s="80"/>
    </row>
    <row r="716" spans="3:4" ht="13">
      <c r="C716" s="89"/>
      <c r="D716" s="80"/>
    </row>
    <row r="717" spans="3:4" ht="13">
      <c r="C717" s="89"/>
      <c r="D717" s="80"/>
    </row>
    <row r="718" spans="3:4" ht="13">
      <c r="C718" s="89"/>
      <c r="D718" s="80"/>
    </row>
    <row r="719" spans="3:4" ht="13">
      <c r="C719" s="89"/>
      <c r="D719" s="80"/>
    </row>
    <row r="720" spans="3:4" ht="13">
      <c r="C720" s="89"/>
      <c r="D720" s="80"/>
    </row>
    <row r="721" spans="3:4" ht="13">
      <c r="C721" s="89"/>
      <c r="D721" s="80"/>
    </row>
    <row r="722" spans="3:4" ht="13">
      <c r="C722" s="89"/>
      <c r="D722" s="80"/>
    </row>
    <row r="723" spans="3:4" ht="13">
      <c r="C723" s="89"/>
      <c r="D723" s="80"/>
    </row>
    <row r="724" spans="3:4" ht="13">
      <c r="C724" s="89"/>
      <c r="D724" s="80"/>
    </row>
    <row r="725" spans="3:4" ht="13">
      <c r="C725" s="89"/>
      <c r="D725" s="80"/>
    </row>
    <row r="726" spans="3:4" ht="13">
      <c r="C726" s="89"/>
      <c r="D726" s="80"/>
    </row>
    <row r="727" spans="3:4" ht="13">
      <c r="C727" s="89"/>
      <c r="D727" s="80"/>
    </row>
    <row r="728" spans="3:4" ht="13">
      <c r="C728" s="89"/>
      <c r="D728" s="80"/>
    </row>
    <row r="729" spans="3:4" ht="13">
      <c r="C729" s="89"/>
      <c r="D729" s="80"/>
    </row>
    <row r="730" spans="3:4" ht="13">
      <c r="C730" s="89"/>
      <c r="D730" s="80"/>
    </row>
    <row r="731" spans="3:4" ht="13">
      <c r="C731" s="89"/>
      <c r="D731" s="80"/>
    </row>
    <row r="732" spans="3:4" ht="13">
      <c r="C732" s="89"/>
      <c r="D732" s="80"/>
    </row>
    <row r="733" spans="3:4" ht="13">
      <c r="C733" s="89"/>
      <c r="D733" s="80"/>
    </row>
    <row r="734" spans="3:4" ht="13">
      <c r="C734" s="89"/>
      <c r="D734" s="80"/>
    </row>
    <row r="735" spans="3:4" ht="13">
      <c r="C735" s="89"/>
      <c r="D735" s="80"/>
    </row>
    <row r="736" spans="3:4" ht="13">
      <c r="C736" s="89"/>
      <c r="D736" s="80"/>
    </row>
    <row r="737" spans="3:4" ht="13">
      <c r="C737" s="89"/>
      <c r="D737" s="80"/>
    </row>
    <row r="738" spans="3:4" ht="13">
      <c r="C738" s="89"/>
      <c r="D738" s="80"/>
    </row>
    <row r="739" spans="3:4" ht="13">
      <c r="C739" s="89"/>
      <c r="D739" s="80"/>
    </row>
    <row r="740" spans="3:4" ht="13">
      <c r="C740" s="89"/>
      <c r="D740" s="80"/>
    </row>
    <row r="741" spans="3:4" ht="13">
      <c r="C741" s="89"/>
      <c r="D741" s="80"/>
    </row>
    <row r="742" spans="3:4" ht="13">
      <c r="C742" s="89"/>
      <c r="D742" s="80"/>
    </row>
    <row r="743" spans="3:4" ht="13">
      <c r="C743" s="89"/>
      <c r="D743" s="80"/>
    </row>
    <row r="744" spans="3:4" ht="13">
      <c r="C744" s="89"/>
      <c r="D744" s="80"/>
    </row>
    <row r="745" spans="3:4" ht="13">
      <c r="C745" s="89"/>
      <c r="D745" s="80"/>
    </row>
    <row r="746" spans="3:4" ht="13">
      <c r="C746" s="89"/>
      <c r="D746" s="80"/>
    </row>
    <row r="747" spans="3:4" ht="13">
      <c r="C747" s="89"/>
      <c r="D747" s="80"/>
    </row>
    <row r="748" spans="3:4" ht="13">
      <c r="C748" s="89"/>
      <c r="D748" s="80"/>
    </row>
    <row r="749" spans="3:4" ht="13">
      <c r="C749" s="89"/>
      <c r="D749" s="80"/>
    </row>
    <row r="750" spans="3:4" ht="13">
      <c r="C750" s="89"/>
      <c r="D750" s="80"/>
    </row>
    <row r="751" spans="3:4" ht="13">
      <c r="C751" s="89"/>
      <c r="D751" s="80"/>
    </row>
    <row r="752" spans="3:4" ht="13">
      <c r="C752" s="89"/>
      <c r="D752" s="80"/>
    </row>
    <row r="753" spans="3:4" ht="13">
      <c r="C753" s="89"/>
      <c r="D753" s="80"/>
    </row>
    <row r="754" spans="3:4" ht="13">
      <c r="C754" s="89"/>
      <c r="D754" s="80"/>
    </row>
    <row r="755" spans="3:4" ht="13">
      <c r="C755" s="89"/>
      <c r="D755" s="80"/>
    </row>
    <row r="756" spans="3:4" ht="13">
      <c r="C756" s="89"/>
      <c r="D756" s="80"/>
    </row>
    <row r="757" spans="3:4" ht="13">
      <c r="C757" s="89"/>
      <c r="D757" s="80"/>
    </row>
    <row r="758" spans="3:4" ht="13">
      <c r="C758" s="89"/>
      <c r="D758" s="80"/>
    </row>
    <row r="759" spans="3:4" ht="13">
      <c r="C759" s="89"/>
      <c r="D759" s="80"/>
    </row>
    <row r="760" spans="3:4" ht="13">
      <c r="C760" s="89"/>
      <c r="D760" s="80"/>
    </row>
    <row r="761" spans="3:4" ht="13">
      <c r="C761" s="89"/>
      <c r="D761" s="80"/>
    </row>
    <row r="762" spans="3:4" ht="13">
      <c r="C762" s="89"/>
      <c r="D762" s="80"/>
    </row>
    <row r="763" spans="3:4" ht="13">
      <c r="C763" s="89"/>
      <c r="D763" s="80"/>
    </row>
    <row r="764" spans="3:4" ht="13">
      <c r="C764" s="89"/>
      <c r="D764" s="80"/>
    </row>
    <row r="765" spans="3:4" ht="13">
      <c r="C765" s="89"/>
      <c r="D765" s="80"/>
    </row>
    <row r="766" spans="3:4" ht="13">
      <c r="C766" s="89"/>
      <c r="D766" s="80"/>
    </row>
    <row r="767" spans="3:4" ht="13">
      <c r="C767" s="89"/>
      <c r="D767" s="80"/>
    </row>
    <row r="768" spans="3:4" ht="13">
      <c r="C768" s="89"/>
      <c r="D768" s="80"/>
    </row>
    <row r="769" spans="3:4" ht="13">
      <c r="C769" s="89"/>
      <c r="D769" s="80"/>
    </row>
    <row r="770" spans="3:4" ht="13">
      <c r="C770" s="89"/>
      <c r="D770" s="80"/>
    </row>
    <row r="771" spans="3:4" ht="13">
      <c r="C771" s="89"/>
      <c r="D771" s="80"/>
    </row>
    <row r="772" spans="3:4" ht="13">
      <c r="C772" s="89"/>
      <c r="D772" s="80"/>
    </row>
    <row r="773" spans="3:4" ht="13">
      <c r="C773" s="89"/>
      <c r="D773" s="80"/>
    </row>
    <row r="774" spans="3:4" ht="13">
      <c r="C774" s="89"/>
      <c r="D774" s="80"/>
    </row>
    <row r="775" spans="3:4" ht="13">
      <c r="C775" s="89"/>
      <c r="D775" s="80"/>
    </row>
    <row r="776" spans="3:4" ht="13">
      <c r="C776" s="89"/>
      <c r="D776" s="80"/>
    </row>
    <row r="777" spans="3:4" ht="13">
      <c r="C777" s="89"/>
      <c r="D777" s="80"/>
    </row>
    <row r="778" spans="3:4" ht="13">
      <c r="C778" s="89"/>
      <c r="D778" s="80"/>
    </row>
    <row r="779" spans="3:4" ht="13">
      <c r="C779" s="89"/>
      <c r="D779" s="80"/>
    </row>
    <row r="780" spans="3:4" ht="13">
      <c r="C780" s="89"/>
      <c r="D780" s="80"/>
    </row>
    <row r="781" spans="3:4" ht="13">
      <c r="C781" s="89"/>
      <c r="D781" s="80"/>
    </row>
    <row r="782" spans="3:4" ht="13">
      <c r="C782" s="89"/>
      <c r="D782" s="80"/>
    </row>
    <row r="783" spans="3:4" ht="13">
      <c r="C783" s="89"/>
      <c r="D783" s="80"/>
    </row>
    <row r="784" spans="3:4" ht="13">
      <c r="C784" s="89"/>
      <c r="D784" s="80"/>
    </row>
    <row r="785" spans="3:4" ht="13">
      <c r="C785" s="89"/>
      <c r="D785" s="80"/>
    </row>
    <row r="786" spans="3:4" ht="13">
      <c r="C786" s="89"/>
      <c r="D786" s="80"/>
    </row>
    <row r="787" spans="3:4" ht="13">
      <c r="C787" s="89"/>
      <c r="D787" s="80"/>
    </row>
    <row r="788" spans="3:4" ht="13">
      <c r="C788" s="89"/>
      <c r="D788" s="80"/>
    </row>
    <row r="789" spans="3:4" ht="13">
      <c r="C789" s="89"/>
      <c r="D789" s="80"/>
    </row>
    <row r="790" spans="3:4" ht="13">
      <c r="C790" s="89"/>
      <c r="D790" s="80"/>
    </row>
    <row r="791" spans="3:4" ht="13">
      <c r="C791" s="89"/>
      <c r="D791" s="80"/>
    </row>
    <row r="792" spans="3:4" ht="13">
      <c r="C792" s="89"/>
      <c r="D792" s="80"/>
    </row>
    <row r="793" spans="3:4" ht="13">
      <c r="C793" s="89"/>
      <c r="D793" s="80"/>
    </row>
    <row r="794" spans="3:4" ht="13">
      <c r="C794" s="89"/>
      <c r="D794" s="80"/>
    </row>
    <row r="795" spans="3:4" ht="13">
      <c r="C795" s="89"/>
      <c r="D795" s="80"/>
    </row>
    <row r="796" spans="3:4" ht="13">
      <c r="C796" s="89"/>
      <c r="D796" s="80"/>
    </row>
    <row r="797" spans="3:4" ht="13">
      <c r="C797" s="89"/>
      <c r="D797" s="80"/>
    </row>
    <row r="798" spans="3:4" ht="13">
      <c r="C798" s="89"/>
      <c r="D798" s="80"/>
    </row>
    <row r="799" spans="3:4" ht="13">
      <c r="C799" s="89"/>
      <c r="D799" s="80"/>
    </row>
    <row r="800" spans="3:4" ht="13">
      <c r="C800" s="89"/>
      <c r="D800" s="80"/>
    </row>
    <row r="801" spans="3:4" ht="13">
      <c r="C801" s="89"/>
      <c r="D801" s="80"/>
    </row>
    <row r="802" spans="3:4" ht="13">
      <c r="C802" s="89"/>
      <c r="D802" s="80"/>
    </row>
    <row r="803" spans="3:4" ht="13">
      <c r="C803" s="89"/>
      <c r="D803" s="80"/>
    </row>
    <row r="804" spans="3:4" ht="13">
      <c r="C804" s="89"/>
      <c r="D804" s="80"/>
    </row>
    <row r="805" spans="3:4" ht="13">
      <c r="C805" s="89"/>
      <c r="D805" s="80"/>
    </row>
    <row r="806" spans="3:4" ht="13">
      <c r="C806" s="89"/>
      <c r="D806" s="80"/>
    </row>
    <row r="807" spans="3:4" ht="13">
      <c r="C807" s="89"/>
      <c r="D807" s="80"/>
    </row>
    <row r="808" spans="3:4" ht="13">
      <c r="C808" s="89"/>
      <c r="D808" s="80"/>
    </row>
    <row r="809" spans="3:4" ht="13">
      <c r="C809" s="89"/>
      <c r="D809" s="80"/>
    </row>
    <row r="810" spans="3:4" ht="13">
      <c r="C810" s="89"/>
      <c r="D810" s="80"/>
    </row>
    <row r="811" spans="3:4" ht="13">
      <c r="C811" s="89"/>
      <c r="D811" s="80"/>
    </row>
    <row r="812" spans="3:4" ht="13">
      <c r="C812" s="89"/>
      <c r="D812" s="80"/>
    </row>
    <row r="813" spans="3:4" ht="13">
      <c r="C813" s="89"/>
      <c r="D813" s="80"/>
    </row>
    <row r="814" spans="3:4" ht="13">
      <c r="C814" s="89"/>
      <c r="D814" s="80"/>
    </row>
    <row r="815" spans="3:4" ht="13">
      <c r="C815" s="89"/>
      <c r="D815" s="80"/>
    </row>
    <row r="816" spans="3:4" ht="13">
      <c r="C816" s="89"/>
      <c r="D816" s="80"/>
    </row>
    <row r="817" spans="3:4" ht="13">
      <c r="C817" s="89"/>
      <c r="D817" s="80"/>
    </row>
    <row r="818" spans="3:4" ht="13">
      <c r="C818" s="89"/>
      <c r="D818" s="80"/>
    </row>
    <row r="819" spans="3:4" ht="13">
      <c r="C819" s="89"/>
      <c r="D819" s="80"/>
    </row>
    <row r="820" spans="3:4" ht="13">
      <c r="C820" s="89"/>
      <c r="D820" s="80"/>
    </row>
    <row r="821" spans="3:4" ht="13">
      <c r="C821" s="89"/>
      <c r="D821" s="80"/>
    </row>
    <row r="822" spans="3:4" ht="13">
      <c r="C822" s="89"/>
      <c r="D822" s="80"/>
    </row>
    <row r="823" spans="3:4" ht="13">
      <c r="C823" s="89"/>
      <c r="D823" s="80"/>
    </row>
    <row r="824" spans="3:4" ht="13">
      <c r="C824" s="89"/>
      <c r="D824" s="80"/>
    </row>
    <row r="825" spans="3:4" ht="13">
      <c r="C825" s="89"/>
      <c r="D825" s="80"/>
    </row>
    <row r="826" spans="3:4" ht="13">
      <c r="C826" s="89"/>
      <c r="D826" s="80"/>
    </row>
    <row r="827" spans="3:4" ht="13">
      <c r="C827" s="89"/>
      <c r="D827" s="80"/>
    </row>
    <row r="828" spans="3:4" ht="13">
      <c r="C828" s="89"/>
      <c r="D828" s="80"/>
    </row>
    <row r="829" spans="3:4" ht="13">
      <c r="C829" s="89"/>
      <c r="D829" s="80"/>
    </row>
    <row r="830" spans="3:4" ht="13">
      <c r="C830" s="89"/>
      <c r="D830" s="80"/>
    </row>
    <row r="831" spans="3:4" ht="13">
      <c r="C831" s="89"/>
      <c r="D831" s="80"/>
    </row>
    <row r="832" spans="3:4" ht="13">
      <c r="C832" s="89"/>
      <c r="D832" s="80"/>
    </row>
    <row r="833" spans="3:4" ht="13">
      <c r="C833" s="89"/>
      <c r="D833" s="80"/>
    </row>
    <row r="834" spans="3:4" ht="13">
      <c r="C834" s="89"/>
      <c r="D834" s="80"/>
    </row>
    <row r="835" spans="3:4" ht="13">
      <c r="C835" s="89"/>
      <c r="D835" s="80"/>
    </row>
    <row r="836" spans="3:4" ht="13">
      <c r="C836" s="89"/>
      <c r="D836" s="80"/>
    </row>
    <row r="837" spans="3:4" ht="13">
      <c r="C837" s="89"/>
      <c r="D837" s="80"/>
    </row>
    <row r="838" spans="3:4" ht="13">
      <c r="C838" s="89"/>
      <c r="D838" s="80"/>
    </row>
    <row r="839" spans="3:4" ht="13">
      <c r="C839" s="89"/>
      <c r="D839" s="80"/>
    </row>
    <row r="840" spans="3:4" ht="13">
      <c r="C840" s="89"/>
      <c r="D840" s="80"/>
    </row>
    <row r="841" spans="3:4" ht="13">
      <c r="C841" s="89"/>
      <c r="D841" s="80"/>
    </row>
    <row r="842" spans="3:4" ht="13">
      <c r="C842" s="89"/>
      <c r="D842" s="80"/>
    </row>
    <row r="843" spans="3:4" ht="13">
      <c r="C843" s="89"/>
      <c r="D843" s="80"/>
    </row>
    <row r="844" spans="3:4" ht="13">
      <c r="C844" s="89"/>
      <c r="D844" s="80"/>
    </row>
    <row r="845" spans="3:4" ht="13">
      <c r="C845" s="89"/>
      <c r="D845" s="80"/>
    </row>
    <row r="846" spans="3:4" ht="13">
      <c r="C846" s="89"/>
      <c r="D846" s="80"/>
    </row>
    <row r="847" spans="3:4" ht="13">
      <c r="C847" s="89"/>
      <c r="D847" s="80"/>
    </row>
    <row r="848" spans="3:4" ht="13">
      <c r="C848" s="89"/>
      <c r="D848" s="80"/>
    </row>
    <row r="849" spans="3:4" ht="13">
      <c r="C849" s="89"/>
      <c r="D849" s="80"/>
    </row>
    <row r="850" spans="3:4" ht="13">
      <c r="C850" s="89"/>
      <c r="D850" s="80"/>
    </row>
    <row r="851" spans="3:4" ht="13">
      <c r="C851" s="89"/>
      <c r="D851" s="80"/>
    </row>
    <row r="852" spans="3:4" ht="13">
      <c r="C852" s="89"/>
      <c r="D852" s="80"/>
    </row>
    <row r="853" spans="3:4" ht="13">
      <c r="C853" s="89"/>
      <c r="D853" s="80"/>
    </row>
    <row r="854" spans="3:4" ht="13">
      <c r="C854" s="89"/>
      <c r="D854" s="80"/>
    </row>
    <row r="855" spans="3:4" ht="13">
      <c r="C855" s="89"/>
      <c r="D855" s="80"/>
    </row>
    <row r="856" spans="3:4" ht="13">
      <c r="C856" s="89"/>
      <c r="D856" s="80"/>
    </row>
    <row r="857" spans="3:4" ht="13">
      <c r="C857" s="89"/>
      <c r="D857" s="80"/>
    </row>
    <row r="858" spans="3:4" ht="13">
      <c r="C858" s="89"/>
      <c r="D858" s="80"/>
    </row>
    <row r="859" spans="3:4" ht="13">
      <c r="C859" s="89"/>
      <c r="D859" s="80"/>
    </row>
    <row r="860" spans="3:4" ht="13">
      <c r="C860" s="89"/>
      <c r="D860" s="80"/>
    </row>
    <row r="861" spans="3:4" ht="13">
      <c r="C861" s="89"/>
      <c r="D861" s="80"/>
    </row>
    <row r="862" spans="3:4" ht="13">
      <c r="C862" s="89"/>
      <c r="D862" s="80"/>
    </row>
    <row r="863" spans="3:4" ht="13">
      <c r="C863" s="89"/>
      <c r="D863" s="80"/>
    </row>
    <row r="864" spans="3:4" ht="13">
      <c r="C864" s="89"/>
      <c r="D864" s="80"/>
    </row>
    <row r="865" spans="3:4" ht="13">
      <c r="C865" s="89"/>
      <c r="D865" s="80"/>
    </row>
    <row r="866" spans="3:4" ht="13">
      <c r="C866" s="89"/>
      <c r="D866" s="80"/>
    </row>
    <row r="867" spans="3:4" ht="13">
      <c r="C867" s="89"/>
      <c r="D867" s="80"/>
    </row>
    <row r="868" spans="3:4" ht="13">
      <c r="C868" s="89"/>
      <c r="D868" s="80"/>
    </row>
    <row r="869" spans="3:4" ht="13">
      <c r="C869" s="89"/>
      <c r="D869" s="80"/>
    </row>
    <row r="870" spans="3:4" ht="13">
      <c r="C870" s="89"/>
      <c r="D870" s="80"/>
    </row>
    <row r="871" spans="3:4" ht="13">
      <c r="C871" s="89"/>
      <c r="D871" s="80"/>
    </row>
    <row r="872" spans="3:4" ht="13">
      <c r="C872" s="89"/>
      <c r="D872" s="80"/>
    </row>
    <row r="873" spans="3:4" ht="13">
      <c r="C873" s="89"/>
      <c r="D873" s="80"/>
    </row>
    <row r="874" spans="3:4" ht="13">
      <c r="C874" s="89"/>
      <c r="D874" s="80"/>
    </row>
    <row r="875" spans="3:4" ht="13">
      <c r="C875" s="89"/>
      <c r="D875" s="80"/>
    </row>
    <row r="876" spans="3:4" ht="13">
      <c r="C876" s="89"/>
      <c r="D876" s="80"/>
    </row>
    <row r="877" spans="3:4" ht="13">
      <c r="C877" s="89"/>
      <c r="D877" s="80"/>
    </row>
    <row r="878" spans="3:4" ht="13">
      <c r="C878" s="89"/>
      <c r="D878" s="80"/>
    </row>
    <row r="879" spans="3:4" ht="13">
      <c r="C879" s="89"/>
      <c r="D879" s="80"/>
    </row>
    <row r="880" spans="3:4" ht="13">
      <c r="C880" s="89"/>
      <c r="D880" s="80"/>
    </row>
    <row r="881" spans="3:4" ht="13">
      <c r="C881" s="89"/>
      <c r="D881" s="80"/>
    </row>
    <row r="882" spans="3:4" ht="13">
      <c r="C882" s="89"/>
      <c r="D882" s="80"/>
    </row>
    <row r="883" spans="3:4" ht="13">
      <c r="C883" s="89"/>
      <c r="D883" s="80"/>
    </row>
    <row r="884" spans="3:4" ht="13">
      <c r="C884" s="89"/>
      <c r="D884" s="80"/>
    </row>
    <row r="885" spans="3:4" ht="13">
      <c r="C885" s="89"/>
      <c r="D885" s="80"/>
    </row>
    <row r="886" spans="3:4" ht="13">
      <c r="C886" s="89"/>
      <c r="D886" s="80"/>
    </row>
    <row r="887" spans="3:4" ht="13">
      <c r="C887" s="89"/>
      <c r="D887" s="80"/>
    </row>
    <row r="888" spans="3:4" ht="13">
      <c r="C888" s="89"/>
      <c r="D888" s="80"/>
    </row>
    <row r="889" spans="3:4" ht="13">
      <c r="C889" s="89"/>
      <c r="D889" s="80"/>
    </row>
    <row r="890" spans="3:4" ht="13">
      <c r="C890" s="89"/>
      <c r="D890" s="80"/>
    </row>
    <row r="891" spans="3:4" ht="13">
      <c r="C891" s="89"/>
      <c r="D891" s="80"/>
    </row>
    <row r="892" spans="3:4" ht="13">
      <c r="C892" s="89"/>
      <c r="D892" s="80"/>
    </row>
    <row r="893" spans="3:4" ht="13">
      <c r="C893" s="89"/>
      <c r="D893" s="80"/>
    </row>
    <row r="894" spans="3:4" ht="13">
      <c r="C894" s="89"/>
      <c r="D894" s="80"/>
    </row>
    <row r="895" spans="3:4" ht="13">
      <c r="C895" s="89"/>
      <c r="D895" s="80"/>
    </row>
    <row r="896" spans="3:4" ht="13">
      <c r="C896" s="89"/>
      <c r="D896" s="80"/>
    </row>
    <row r="897" spans="3:4" ht="13">
      <c r="C897" s="89"/>
      <c r="D897" s="80"/>
    </row>
    <row r="898" spans="3:4" ht="13">
      <c r="C898" s="89"/>
      <c r="D898" s="80"/>
    </row>
    <row r="899" spans="3:4" ht="13">
      <c r="C899" s="89"/>
      <c r="D899" s="80"/>
    </row>
    <row r="900" spans="3:4" ht="13">
      <c r="C900" s="89"/>
      <c r="D900" s="80"/>
    </row>
    <row r="901" spans="3:4" ht="13">
      <c r="C901" s="89"/>
      <c r="D901" s="80"/>
    </row>
    <row r="902" spans="3:4" ht="13">
      <c r="C902" s="89"/>
      <c r="D902" s="80"/>
    </row>
    <row r="903" spans="3:4" ht="13">
      <c r="C903" s="89"/>
      <c r="D903" s="80"/>
    </row>
    <row r="904" spans="3:4" ht="13">
      <c r="C904" s="89"/>
      <c r="D904" s="80"/>
    </row>
    <row r="905" spans="3:4" ht="13">
      <c r="C905" s="89"/>
      <c r="D905" s="80"/>
    </row>
    <row r="906" spans="3:4" ht="13">
      <c r="C906" s="89"/>
      <c r="D906" s="80"/>
    </row>
    <row r="907" spans="3:4" ht="13">
      <c r="C907" s="89"/>
      <c r="D907" s="80"/>
    </row>
    <row r="908" spans="3:4" ht="13">
      <c r="C908" s="89"/>
      <c r="D908" s="80"/>
    </row>
    <row r="909" spans="3:4" ht="13">
      <c r="C909" s="89"/>
      <c r="D909" s="80"/>
    </row>
    <row r="910" spans="3:4" ht="13">
      <c r="C910" s="89"/>
      <c r="D910" s="80"/>
    </row>
    <row r="911" spans="3:4" ht="13">
      <c r="C911" s="89"/>
      <c r="D911" s="80"/>
    </row>
    <row r="912" spans="3:4" ht="13">
      <c r="C912" s="89"/>
      <c r="D912" s="80"/>
    </row>
    <row r="913" spans="3:4" ht="13">
      <c r="C913" s="89"/>
      <c r="D913" s="80"/>
    </row>
    <row r="914" spans="3:4" ht="13">
      <c r="C914" s="89"/>
      <c r="D914" s="80"/>
    </row>
    <row r="915" spans="3:4" ht="13">
      <c r="C915" s="89"/>
      <c r="D915" s="80"/>
    </row>
    <row r="916" spans="3:4" ht="13">
      <c r="C916" s="89"/>
      <c r="D916" s="80"/>
    </row>
    <row r="917" spans="3:4" ht="13">
      <c r="C917" s="89"/>
      <c r="D917" s="80"/>
    </row>
    <row r="918" spans="3:4" ht="13">
      <c r="C918" s="89"/>
      <c r="D918" s="80"/>
    </row>
    <row r="919" spans="3:4" ht="13">
      <c r="C919" s="89"/>
      <c r="D919" s="80"/>
    </row>
    <row r="920" spans="3:4" ht="13">
      <c r="C920" s="89"/>
      <c r="D920" s="80"/>
    </row>
    <row r="921" spans="3:4" ht="13">
      <c r="C921" s="89"/>
      <c r="D921" s="80"/>
    </row>
    <row r="922" spans="3:4" ht="13">
      <c r="C922" s="89"/>
      <c r="D922" s="80"/>
    </row>
    <row r="923" spans="3:4" ht="13">
      <c r="C923" s="89"/>
      <c r="D923" s="80"/>
    </row>
    <row r="924" spans="3:4" ht="13">
      <c r="C924" s="89"/>
      <c r="D924" s="80"/>
    </row>
    <row r="925" spans="3:4" ht="13">
      <c r="C925" s="89"/>
      <c r="D925" s="80"/>
    </row>
    <row r="926" spans="3:4" ht="13">
      <c r="C926" s="89"/>
      <c r="D926" s="80"/>
    </row>
    <row r="927" spans="3:4" ht="13">
      <c r="C927" s="89"/>
      <c r="D927" s="80"/>
    </row>
    <row r="928" spans="3:4" ht="13">
      <c r="C928" s="89"/>
      <c r="D928" s="80"/>
    </row>
    <row r="929" spans="3:4" ht="13">
      <c r="C929" s="89"/>
      <c r="D929" s="80"/>
    </row>
    <row r="930" spans="3:4" ht="13">
      <c r="C930" s="89"/>
      <c r="D930" s="80"/>
    </row>
    <row r="931" spans="3:4" ht="13">
      <c r="C931" s="89"/>
      <c r="D931" s="80"/>
    </row>
    <row r="932" spans="3:4" ht="13">
      <c r="C932" s="89"/>
      <c r="D932" s="80"/>
    </row>
    <row r="933" spans="3:4" ht="13">
      <c r="C933" s="89"/>
      <c r="D933" s="80"/>
    </row>
    <row r="934" spans="3:4" ht="13">
      <c r="C934" s="89"/>
      <c r="D934" s="80"/>
    </row>
    <row r="935" spans="3:4" ht="13">
      <c r="C935" s="89"/>
      <c r="D935" s="80"/>
    </row>
    <row r="936" spans="3:4" ht="13">
      <c r="C936" s="89"/>
      <c r="D936" s="80"/>
    </row>
    <row r="937" spans="3:4" ht="13">
      <c r="C937" s="89"/>
      <c r="D937" s="80"/>
    </row>
    <row r="938" spans="3:4" ht="13">
      <c r="C938" s="89"/>
      <c r="D938" s="80"/>
    </row>
    <row r="939" spans="3:4" ht="13">
      <c r="C939" s="89"/>
      <c r="D939" s="80"/>
    </row>
    <row r="940" spans="3:4" ht="13">
      <c r="C940" s="89"/>
      <c r="D940" s="80"/>
    </row>
    <row r="941" spans="3:4" ht="13">
      <c r="C941" s="89"/>
      <c r="D941" s="80"/>
    </row>
    <row r="942" spans="3:4" ht="13">
      <c r="C942" s="89"/>
      <c r="D942" s="80"/>
    </row>
    <row r="943" spans="3:4" ht="13">
      <c r="C943" s="89"/>
      <c r="D943" s="80"/>
    </row>
    <row r="944" spans="3:4" ht="13">
      <c r="C944" s="89"/>
      <c r="D944" s="80"/>
    </row>
    <row r="945" spans="3:4" ht="13">
      <c r="C945" s="89"/>
      <c r="D945" s="80"/>
    </row>
    <row r="946" spans="3:4" ht="13">
      <c r="C946" s="89"/>
      <c r="D946" s="80"/>
    </row>
    <row r="947" spans="3:4" ht="13">
      <c r="C947" s="89"/>
      <c r="D947" s="80"/>
    </row>
    <row r="948" spans="3:4" ht="13">
      <c r="C948" s="89"/>
      <c r="D948" s="80"/>
    </row>
    <row r="949" spans="3:4" ht="13">
      <c r="C949" s="89"/>
      <c r="D949" s="80"/>
    </row>
    <row r="950" spans="3:4" ht="13">
      <c r="C950" s="89"/>
      <c r="D950" s="80"/>
    </row>
    <row r="951" spans="3:4" ht="13">
      <c r="C951" s="89"/>
      <c r="D951" s="80"/>
    </row>
    <row r="952" spans="3:4" ht="13">
      <c r="C952" s="89"/>
      <c r="D952" s="80"/>
    </row>
    <row r="953" spans="3:4" ht="13">
      <c r="C953" s="89"/>
      <c r="D953" s="80"/>
    </row>
    <row r="954" spans="3:4" ht="13">
      <c r="C954" s="89"/>
      <c r="D954" s="80"/>
    </row>
    <row r="955" spans="3:4" ht="13">
      <c r="C955" s="89"/>
      <c r="D955" s="80"/>
    </row>
    <row r="956" spans="3:4" ht="13">
      <c r="C956" s="89"/>
      <c r="D956" s="80"/>
    </row>
    <row r="957" spans="3:4" ht="13">
      <c r="C957" s="89"/>
      <c r="D957" s="80"/>
    </row>
    <row r="958" spans="3:4" ht="13">
      <c r="C958" s="89"/>
      <c r="D958" s="80"/>
    </row>
    <row r="959" spans="3:4" ht="13">
      <c r="C959" s="89"/>
      <c r="D959" s="80"/>
    </row>
    <row r="960" spans="3:4" ht="13">
      <c r="C960" s="89"/>
      <c r="D960" s="80"/>
    </row>
    <row r="961" spans="3:4" ht="13">
      <c r="C961" s="89"/>
      <c r="D961" s="80"/>
    </row>
    <row r="962" spans="3:4" ht="13">
      <c r="C962" s="89"/>
      <c r="D962" s="80"/>
    </row>
    <row r="963" spans="3:4" ht="13">
      <c r="C963" s="89"/>
      <c r="D963" s="80"/>
    </row>
    <row r="964" spans="3:4" ht="13">
      <c r="C964" s="89"/>
      <c r="D964" s="80"/>
    </row>
    <row r="965" spans="3:4" ht="13">
      <c r="C965" s="89"/>
      <c r="D965" s="80"/>
    </row>
    <row r="966" spans="3:4" ht="13">
      <c r="C966" s="89"/>
      <c r="D966" s="80"/>
    </row>
    <row r="967" spans="3:4" ht="13">
      <c r="C967" s="89"/>
      <c r="D967" s="80"/>
    </row>
    <row r="968" spans="3:4" ht="13">
      <c r="C968" s="89"/>
      <c r="D968" s="80"/>
    </row>
    <row r="969" spans="3:4" ht="13">
      <c r="C969" s="89"/>
      <c r="D969" s="80"/>
    </row>
    <row r="970" spans="3:4" ht="13">
      <c r="C970" s="89"/>
      <c r="D970" s="80"/>
    </row>
    <row r="971" spans="3:4" ht="13">
      <c r="C971" s="89"/>
      <c r="D971" s="80"/>
    </row>
    <row r="972" spans="3:4" ht="13">
      <c r="C972" s="89"/>
      <c r="D972" s="80"/>
    </row>
    <row r="973" spans="3:4" ht="13">
      <c r="C973" s="89"/>
      <c r="D973" s="80"/>
    </row>
    <row r="974" spans="3:4" ht="13">
      <c r="C974" s="89"/>
      <c r="D974" s="80"/>
    </row>
    <row r="975" spans="3:4" ht="13">
      <c r="C975" s="89"/>
      <c r="D975" s="80"/>
    </row>
    <row r="976" spans="3:4" ht="13">
      <c r="C976" s="89"/>
      <c r="D976" s="80"/>
    </row>
    <row r="977" spans="3:4" ht="13">
      <c r="C977" s="89"/>
      <c r="D977" s="80"/>
    </row>
    <row r="978" spans="3:4" ht="13">
      <c r="C978" s="89"/>
      <c r="D978" s="80"/>
    </row>
    <row r="979" spans="3:4" ht="13">
      <c r="C979" s="89"/>
      <c r="D979" s="80"/>
    </row>
    <row r="980" spans="3:4" ht="13">
      <c r="C980" s="89"/>
      <c r="D980" s="80"/>
    </row>
    <row r="981" spans="3:4" ht="13">
      <c r="C981" s="89"/>
      <c r="D981" s="80"/>
    </row>
    <row r="982" spans="3:4" ht="13">
      <c r="C982" s="89"/>
      <c r="D982" s="80"/>
    </row>
    <row r="983" spans="3:4" ht="13">
      <c r="C983" s="89"/>
      <c r="D983" s="80"/>
    </row>
    <row r="984" spans="3:4" ht="13">
      <c r="C984" s="89"/>
      <c r="D984" s="80"/>
    </row>
    <row r="985" spans="3:4" ht="13">
      <c r="C985" s="89"/>
      <c r="D985" s="80"/>
    </row>
    <row r="986" spans="3:4" ht="13">
      <c r="C986" s="89"/>
      <c r="D986" s="80"/>
    </row>
    <row r="987" spans="3:4" ht="13">
      <c r="C987" s="89"/>
      <c r="D987" s="80"/>
    </row>
    <row r="988" spans="3:4" ht="13">
      <c r="C988" s="89"/>
      <c r="D988" s="80"/>
    </row>
    <row r="989" spans="3:4" ht="13">
      <c r="C989" s="89"/>
      <c r="D989" s="80"/>
    </row>
    <row r="990" spans="3:4" ht="13">
      <c r="C990" s="89"/>
      <c r="D990" s="80"/>
    </row>
    <row r="991" spans="3:4" ht="13">
      <c r="C991" s="89"/>
      <c r="D991" s="80"/>
    </row>
    <row r="992" spans="3:4" ht="13">
      <c r="C992" s="89"/>
      <c r="D992" s="80"/>
    </row>
    <row r="993" spans="3:4" ht="13">
      <c r="C993" s="89"/>
      <c r="D993" s="80"/>
    </row>
    <row r="994" spans="3:4" ht="13">
      <c r="C994" s="89"/>
      <c r="D994" s="80"/>
    </row>
    <row r="995" spans="3:4" ht="13">
      <c r="C995" s="89"/>
      <c r="D995" s="80"/>
    </row>
    <row r="996" spans="3:4" ht="13">
      <c r="C996" s="89"/>
      <c r="D996" s="80"/>
    </row>
    <row r="997" spans="3:4" ht="13">
      <c r="C997" s="89"/>
      <c r="D997" s="80"/>
    </row>
    <row r="998" spans="3:4" ht="13">
      <c r="C998" s="89"/>
      <c r="D998" s="80"/>
    </row>
    <row r="999" spans="3:4" ht="13">
      <c r="C999" s="89"/>
      <c r="D999" s="80"/>
    </row>
  </sheetData>
  <autoFilter ref="A1:D77" xr:uid="{00000000-0009-0000-0000-000007000000}">
    <filterColumn colId="0">
      <filters>
        <filter val="Payroll - Non Bill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5"/>
  <sheetViews>
    <sheetView workbookViewId="0"/>
  </sheetViews>
  <sheetFormatPr baseColWidth="10" defaultColWidth="12.6640625" defaultRowHeight="15.75" customHeight="1"/>
  <cols>
    <col min="1" max="1" width="13.33203125" customWidth="1"/>
    <col min="2" max="2" width="20.5" customWidth="1"/>
  </cols>
  <sheetData>
    <row r="1" spans="1:26" ht="15.75" customHeight="1">
      <c r="A1" s="75" t="s">
        <v>212</v>
      </c>
      <c r="B1" s="75" t="s">
        <v>213</v>
      </c>
      <c r="C1" s="76" t="s">
        <v>214</v>
      </c>
      <c r="D1" s="77" t="s">
        <v>215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customHeight="1">
      <c r="A2" s="79" t="s">
        <v>216</v>
      </c>
      <c r="B2" s="35" t="s">
        <v>86</v>
      </c>
      <c r="C2" s="69">
        <v>31972</v>
      </c>
      <c r="D2" s="80">
        <f t="shared" ref="D2:D76" si="0">C2/92.18</f>
        <v>346.84313300065088</v>
      </c>
    </row>
    <row r="3" spans="1:26" ht="15.75" customHeight="1">
      <c r="A3" s="79" t="s">
        <v>216</v>
      </c>
      <c r="B3" s="35" t="s">
        <v>217</v>
      </c>
      <c r="C3" s="69">
        <v>34800</v>
      </c>
      <c r="D3" s="80">
        <f t="shared" si="0"/>
        <v>377.52223909741809</v>
      </c>
    </row>
    <row r="4" spans="1:26" ht="15.75" customHeight="1">
      <c r="A4" s="79" t="s">
        <v>216</v>
      </c>
      <c r="B4" s="35" t="s">
        <v>75</v>
      </c>
      <c r="C4" s="69">
        <v>76247</v>
      </c>
      <c r="D4" s="80">
        <f t="shared" si="0"/>
        <v>827.15339553048375</v>
      </c>
    </row>
    <row r="5" spans="1:26" ht="15.75" customHeight="1">
      <c r="A5" s="79" t="s">
        <v>216</v>
      </c>
      <c r="B5" s="35" t="s">
        <v>80</v>
      </c>
      <c r="C5" s="69">
        <v>7453</v>
      </c>
      <c r="D5" s="80">
        <f t="shared" si="0"/>
        <v>80.852679540030366</v>
      </c>
    </row>
    <row r="6" spans="1:26" ht="15.75" customHeight="1">
      <c r="A6" s="79" t="s">
        <v>216</v>
      </c>
      <c r="B6" s="35" t="s">
        <v>218</v>
      </c>
      <c r="C6" s="69">
        <v>46929</v>
      </c>
      <c r="D6" s="80">
        <f t="shared" si="0"/>
        <v>509.10175743111301</v>
      </c>
    </row>
    <row r="7" spans="1:26" ht="15.75" customHeight="1">
      <c r="A7" s="79" t="s">
        <v>216</v>
      </c>
      <c r="B7" s="35" t="s">
        <v>186</v>
      </c>
      <c r="C7" s="69">
        <v>44514</v>
      </c>
      <c r="D7" s="80">
        <f t="shared" si="0"/>
        <v>482.90301583857666</v>
      </c>
    </row>
    <row r="8" spans="1:26" ht="15.75" customHeight="1">
      <c r="A8" s="79" t="s">
        <v>216</v>
      </c>
      <c r="B8" s="35" t="s">
        <v>219</v>
      </c>
      <c r="C8" s="69">
        <v>8508</v>
      </c>
      <c r="D8" s="80">
        <f t="shared" si="0"/>
        <v>92.297678455196348</v>
      </c>
    </row>
    <row r="9" spans="1:26" ht="15.75" customHeight="1">
      <c r="A9" s="79" t="s">
        <v>216</v>
      </c>
      <c r="B9" s="35" t="s">
        <v>91</v>
      </c>
      <c r="C9" s="69">
        <v>45265</v>
      </c>
      <c r="D9" s="80">
        <f t="shared" si="0"/>
        <v>491.05011933174222</v>
      </c>
    </row>
    <row r="10" spans="1:26" ht="15.75" customHeight="1">
      <c r="A10" s="9" t="s">
        <v>220</v>
      </c>
      <c r="B10" s="35" t="s">
        <v>191</v>
      </c>
      <c r="C10" s="69">
        <v>87539</v>
      </c>
      <c r="D10" s="80">
        <f t="shared" si="0"/>
        <v>949.65285311347361</v>
      </c>
    </row>
    <row r="11" spans="1:26" ht="15.75" customHeight="1">
      <c r="A11" s="34" t="s">
        <v>93</v>
      </c>
      <c r="B11" s="35" t="s">
        <v>94</v>
      </c>
      <c r="C11" s="69">
        <v>80600</v>
      </c>
      <c r="D11" s="80">
        <f t="shared" si="0"/>
        <v>874.37622043827287</v>
      </c>
    </row>
    <row r="12" spans="1:26" ht="15.75" customHeight="1">
      <c r="A12" s="34" t="s">
        <v>93</v>
      </c>
      <c r="B12" s="35" t="s">
        <v>95</v>
      </c>
      <c r="C12" s="69">
        <v>16460</v>
      </c>
      <c r="D12" s="80">
        <f t="shared" si="0"/>
        <v>178.56367975699717</v>
      </c>
    </row>
    <row r="13" spans="1:26" ht="15.75" customHeight="1">
      <c r="A13" s="34" t="s">
        <v>114</v>
      </c>
      <c r="B13" s="35" t="s">
        <v>96</v>
      </c>
      <c r="C13" s="69">
        <v>64559</v>
      </c>
      <c r="D13" s="80">
        <f t="shared" si="0"/>
        <v>700.35799522673028</v>
      </c>
    </row>
    <row r="14" spans="1:26" ht="15.75" customHeight="1">
      <c r="A14" s="9" t="s">
        <v>196</v>
      </c>
      <c r="B14" s="35" t="s">
        <v>99</v>
      </c>
      <c r="C14" s="69">
        <v>20900</v>
      </c>
      <c r="D14" s="80">
        <f t="shared" si="0"/>
        <v>226.73031026252983</v>
      </c>
    </row>
    <row r="15" spans="1:26" ht="15.75" customHeight="1">
      <c r="A15" s="9" t="s">
        <v>220</v>
      </c>
      <c r="B15" s="35" t="s">
        <v>100</v>
      </c>
      <c r="C15" s="69">
        <v>102599</v>
      </c>
      <c r="D15" s="80">
        <f t="shared" si="0"/>
        <v>1113.0288565849423</v>
      </c>
    </row>
    <row r="16" spans="1:26" ht="15.75" customHeight="1">
      <c r="A16" s="9" t="s">
        <v>196</v>
      </c>
      <c r="B16" s="35" t="s">
        <v>101</v>
      </c>
      <c r="C16" s="69">
        <v>18000</v>
      </c>
      <c r="D16" s="80">
        <f t="shared" si="0"/>
        <v>195.27012367107832</v>
      </c>
    </row>
    <row r="17" spans="1:4" ht="15.75" customHeight="1">
      <c r="A17" s="9" t="s">
        <v>197</v>
      </c>
      <c r="B17" s="35" t="s">
        <v>102</v>
      </c>
      <c r="C17" s="69">
        <v>32927</v>
      </c>
      <c r="D17" s="80">
        <f t="shared" si="0"/>
        <v>357.203297895422</v>
      </c>
    </row>
    <row r="18" spans="1:4" ht="15.75" customHeight="1">
      <c r="A18" s="9" t="s">
        <v>197</v>
      </c>
      <c r="B18" s="35" t="s">
        <v>198</v>
      </c>
      <c r="C18" s="69">
        <v>46242</v>
      </c>
      <c r="D18" s="80">
        <f t="shared" si="0"/>
        <v>501.64894771100018</v>
      </c>
    </row>
    <row r="19" spans="1:4" ht="15.75" customHeight="1">
      <c r="A19" s="9" t="s">
        <v>220</v>
      </c>
      <c r="B19" s="35" t="s">
        <v>104</v>
      </c>
      <c r="C19" s="69">
        <v>147000</v>
      </c>
      <c r="D19" s="80">
        <f t="shared" si="0"/>
        <v>1594.7060099804728</v>
      </c>
    </row>
    <row r="20" spans="1:4" ht="15.75" customHeight="1">
      <c r="A20" s="9" t="s">
        <v>114</v>
      </c>
      <c r="B20" s="35" t="s">
        <v>90</v>
      </c>
      <c r="C20" s="69">
        <v>145700</v>
      </c>
      <c r="D20" s="80">
        <f t="shared" si="0"/>
        <v>1580.6031677153394</v>
      </c>
    </row>
    <row r="21" spans="1:4" ht="15.75" customHeight="1">
      <c r="A21" s="9" t="s">
        <v>220</v>
      </c>
      <c r="B21" s="35" t="s">
        <v>105</v>
      </c>
      <c r="C21" s="69">
        <v>110000</v>
      </c>
      <c r="D21" s="80">
        <f t="shared" si="0"/>
        <v>1193.3174224343675</v>
      </c>
    </row>
    <row r="22" spans="1:4" ht="15.75" customHeight="1">
      <c r="A22" s="9" t="s">
        <v>196</v>
      </c>
      <c r="B22" s="35" t="s">
        <v>106</v>
      </c>
      <c r="C22" s="69">
        <v>32796</v>
      </c>
      <c r="D22" s="80">
        <f t="shared" si="0"/>
        <v>355.78216532870471</v>
      </c>
    </row>
    <row r="23" spans="1:4" ht="15.75" customHeight="1">
      <c r="A23" s="9" t="s">
        <v>114</v>
      </c>
      <c r="B23" s="35" t="s">
        <v>123</v>
      </c>
      <c r="C23" s="69">
        <v>460900</v>
      </c>
      <c r="D23" s="80">
        <f t="shared" si="0"/>
        <v>5000</v>
      </c>
    </row>
    <row r="24" spans="1:4" ht="15.75" customHeight="1">
      <c r="A24" s="9" t="s">
        <v>114</v>
      </c>
      <c r="B24" s="35" t="s">
        <v>221</v>
      </c>
      <c r="C24" s="69">
        <v>307267</v>
      </c>
      <c r="D24" s="80">
        <f t="shared" si="0"/>
        <v>3333.3369494467343</v>
      </c>
    </row>
    <row r="25" spans="1:4" ht="15.75" customHeight="1">
      <c r="A25" s="9" t="s">
        <v>114</v>
      </c>
      <c r="B25" s="35" t="s">
        <v>222</v>
      </c>
      <c r="C25" s="69">
        <v>960207</v>
      </c>
      <c r="D25" s="80">
        <f t="shared" si="0"/>
        <v>10416.652202213061</v>
      </c>
    </row>
    <row r="26" spans="1:4" ht="15.75" customHeight="1">
      <c r="A26" s="9" t="s">
        <v>220</v>
      </c>
      <c r="B26" s="35" t="s">
        <v>107</v>
      </c>
      <c r="C26" s="69">
        <v>1101933</v>
      </c>
      <c r="D26" s="80">
        <f t="shared" si="0"/>
        <v>11954.144065957908</v>
      </c>
    </row>
    <row r="27" spans="1:4" ht="15.75" customHeight="1">
      <c r="A27" s="9" t="s">
        <v>223</v>
      </c>
      <c r="B27" s="81" t="s">
        <v>204</v>
      </c>
      <c r="C27" s="69">
        <v>126801</v>
      </c>
      <c r="D27" s="80">
        <f t="shared" si="0"/>
        <v>1375.5803862009111</v>
      </c>
    </row>
    <row r="28" spans="1:4" ht="15.75" customHeight="1">
      <c r="A28" s="9" t="s">
        <v>223</v>
      </c>
      <c r="B28" s="81" t="s">
        <v>20</v>
      </c>
      <c r="C28" s="69">
        <v>51800</v>
      </c>
      <c r="D28" s="80">
        <f t="shared" si="0"/>
        <v>561.94402256454759</v>
      </c>
    </row>
    <row r="29" spans="1:4" ht="15.75" customHeight="1">
      <c r="A29" s="9" t="s">
        <v>223</v>
      </c>
      <c r="B29" s="81" t="s">
        <v>23</v>
      </c>
      <c r="C29" s="69">
        <v>33606</v>
      </c>
      <c r="D29" s="80">
        <f t="shared" si="0"/>
        <v>364.56932089390318</v>
      </c>
    </row>
    <row r="30" spans="1:4" ht="15.75" customHeight="1">
      <c r="A30" s="9" t="s">
        <v>223</v>
      </c>
      <c r="B30" s="81" t="s">
        <v>22</v>
      </c>
      <c r="C30" s="69">
        <v>55520</v>
      </c>
      <c r="D30" s="80">
        <f t="shared" si="0"/>
        <v>602.2998481232371</v>
      </c>
    </row>
    <row r="31" spans="1:4" ht="15.75" customHeight="1">
      <c r="A31" s="9" t="s">
        <v>223</v>
      </c>
      <c r="B31" s="81" t="s">
        <v>92</v>
      </c>
      <c r="C31" s="69">
        <v>68800</v>
      </c>
      <c r="D31" s="80">
        <f t="shared" si="0"/>
        <v>746.36580603167715</v>
      </c>
    </row>
    <row r="32" spans="1:4" ht="15.75" customHeight="1">
      <c r="A32" s="9" t="s">
        <v>223</v>
      </c>
      <c r="B32" s="81" t="s">
        <v>28</v>
      </c>
      <c r="C32" s="69">
        <v>106800</v>
      </c>
      <c r="D32" s="80">
        <f t="shared" si="0"/>
        <v>1158.6027337817313</v>
      </c>
    </row>
    <row r="33" spans="1:4" ht="15.75" customHeight="1">
      <c r="A33" s="9" t="s">
        <v>223</v>
      </c>
      <c r="B33" s="81" t="s">
        <v>109</v>
      </c>
      <c r="C33" s="69">
        <v>44800</v>
      </c>
      <c r="D33" s="80">
        <f t="shared" si="0"/>
        <v>486.00564113690604</v>
      </c>
    </row>
    <row r="34" spans="1:4" ht="15.75" customHeight="1">
      <c r="A34" s="9" t="s">
        <v>223</v>
      </c>
      <c r="B34" s="81" t="s">
        <v>31</v>
      </c>
      <c r="C34" s="69">
        <v>43000</v>
      </c>
      <c r="D34" s="80">
        <f t="shared" si="0"/>
        <v>466.47862876979821</v>
      </c>
    </row>
    <row r="35" spans="1:4" ht="15.75" customHeight="1">
      <c r="A35" s="9" t="s">
        <v>223</v>
      </c>
      <c r="B35" s="81" t="s">
        <v>32</v>
      </c>
      <c r="C35" s="69">
        <v>35748</v>
      </c>
      <c r="D35" s="80">
        <f t="shared" si="0"/>
        <v>387.80646561076151</v>
      </c>
    </row>
    <row r="36" spans="1:4" ht="15.75" customHeight="1">
      <c r="A36" s="9" t="s">
        <v>223</v>
      </c>
      <c r="B36" s="81" t="s">
        <v>33</v>
      </c>
      <c r="C36" s="69">
        <v>44600</v>
      </c>
      <c r="D36" s="80">
        <f t="shared" si="0"/>
        <v>483.83597309611628</v>
      </c>
    </row>
    <row r="37" spans="1:4" ht="15.75" customHeight="1">
      <c r="A37" s="9" t="s">
        <v>223</v>
      </c>
      <c r="B37" s="82" t="s">
        <v>35</v>
      </c>
      <c r="C37" s="69">
        <v>91887</v>
      </c>
      <c r="D37" s="80">
        <f t="shared" si="0"/>
        <v>996.82143632024292</v>
      </c>
    </row>
    <row r="38" spans="1:4" ht="15.75" customHeight="1">
      <c r="A38" s="9" t="s">
        <v>223</v>
      </c>
      <c r="B38" s="83" t="s">
        <v>37</v>
      </c>
      <c r="C38" s="69">
        <v>89115</v>
      </c>
      <c r="D38" s="80">
        <f t="shared" si="0"/>
        <v>966.74983727489689</v>
      </c>
    </row>
    <row r="39" spans="1:4" ht="15.75" customHeight="1">
      <c r="A39" s="9" t="s">
        <v>223</v>
      </c>
      <c r="B39" s="83" t="s">
        <v>38</v>
      </c>
      <c r="C39" s="69">
        <v>62027</v>
      </c>
      <c r="D39" s="80">
        <f t="shared" si="0"/>
        <v>672.88999783033194</v>
      </c>
    </row>
    <row r="40" spans="1:4" ht="15.75" customHeight="1">
      <c r="A40" s="9" t="s">
        <v>223</v>
      </c>
      <c r="B40" s="83" t="s">
        <v>40</v>
      </c>
      <c r="C40" s="69">
        <v>39168</v>
      </c>
      <c r="D40" s="80">
        <f t="shared" si="0"/>
        <v>424.9077891082664</v>
      </c>
    </row>
    <row r="41" spans="1:4" ht="15.75" customHeight="1">
      <c r="A41" s="9" t="s">
        <v>223</v>
      </c>
      <c r="B41" s="83" t="s">
        <v>42</v>
      </c>
      <c r="C41" s="69">
        <v>47284</v>
      </c>
      <c r="D41" s="80">
        <f t="shared" si="0"/>
        <v>512.95291820351486</v>
      </c>
    </row>
    <row r="42" spans="1:4" ht="15.75" customHeight="1">
      <c r="A42" s="9" t="s">
        <v>223</v>
      </c>
      <c r="B42" s="84" t="s">
        <v>36</v>
      </c>
      <c r="C42" s="69">
        <v>59419</v>
      </c>
      <c r="D42" s="80">
        <f t="shared" si="0"/>
        <v>644.59752657843342</v>
      </c>
    </row>
    <row r="43" spans="1:4" ht="15.75" customHeight="1">
      <c r="A43" s="9" t="s">
        <v>223</v>
      </c>
      <c r="B43" s="83" t="s">
        <v>39</v>
      </c>
      <c r="C43" s="69">
        <v>41020</v>
      </c>
      <c r="D43" s="80">
        <f t="shared" si="0"/>
        <v>444.99891516597955</v>
      </c>
    </row>
    <row r="44" spans="1:4" ht="15.75" customHeight="1">
      <c r="A44" s="9" t="s">
        <v>223</v>
      </c>
      <c r="B44" s="83" t="s">
        <v>41</v>
      </c>
      <c r="C44" s="69">
        <v>17624</v>
      </c>
      <c r="D44" s="80">
        <f t="shared" si="0"/>
        <v>191.19114775439357</v>
      </c>
    </row>
    <row r="45" spans="1:4" ht="15.75" customHeight="1">
      <c r="A45" s="9" t="s">
        <v>223</v>
      </c>
      <c r="B45" s="83" t="s">
        <v>43</v>
      </c>
      <c r="C45" s="69">
        <v>41768</v>
      </c>
      <c r="D45" s="80">
        <f t="shared" si="0"/>
        <v>453.11347363853326</v>
      </c>
    </row>
    <row r="46" spans="1:4" ht="15.75" customHeight="1">
      <c r="A46" s="9" t="s">
        <v>223</v>
      </c>
      <c r="B46" s="82" t="s">
        <v>47</v>
      </c>
      <c r="C46" s="69">
        <v>67327</v>
      </c>
      <c r="D46" s="80">
        <f t="shared" si="0"/>
        <v>730.38620091126052</v>
      </c>
    </row>
    <row r="47" spans="1:4" ht="15.75" customHeight="1">
      <c r="A47" s="9" t="s">
        <v>223</v>
      </c>
      <c r="B47" s="82" t="s">
        <v>48</v>
      </c>
      <c r="C47" s="69">
        <v>70000</v>
      </c>
      <c r="D47" s="80">
        <f t="shared" si="0"/>
        <v>759.38381427641571</v>
      </c>
    </row>
    <row r="48" spans="1:4" ht="15.75" customHeight="1">
      <c r="A48" s="9" t="s">
        <v>223</v>
      </c>
      <c r="B48" s="82" t="s">
        <v>49</v>
      </c>
      <c r="C48" s="69">
        <v>46304</v>
      </c>
      <c r="D48" s="80">
        <f t="shared" si="0"/>
        <v>502.321544803645</v>
      </c>
    </row>
    <row r="49" spans="1:4" ht="15.75" customHeight="1">
      <c r="A49" s="9" t="s">
        <v>223</v>
      </c>
      <c r="B49" s="81" t="s">
        <v>52</v>
      </c>
      <c r="C49" s="69">
        <v>97000</v>
      </c>
      <c r="D49" s="80">
        <f t="shared" si="0"/>
        <v>1052.2889997830332</v>
      </c>
    </row>
    <row r="50" spans="1:4" ht="16">
      <c r="A50" s="9" t="s">
        <v>223</v>
      </c>
      <c r="B50" s="81" t="s">
        <v>51</v>
      </c>
      <c r="C50" s="69">
        <v>81068</v>
      </c>
      <c r="D50" s="80">
        <f t="shared" si="0"/>
        <v>879.45324365372096</v>
      </c>
    </row>
    <row r="51" spans="1:4" ht="16">
      <c r="A51" s="9" t="s">
        <v>223</v>
      </c>
      <c r="B51" s="81" t="s">
        <v>60</v>
      </c>
      <c r="C51" s="69">
        <v>71000</v>
      </c>
      <c r="D51" s="80">
        <f t="shared" si="0"/>
        <v>770.23215448036444</v>
      </c>
    </row>
    <row r="52" spans="1:4" ht="15">
      <c r="A52" s="9" t="s">
        <v>223</v>
      </c>
      <c r="B52" s="69" t="s">
        <v>187</v>
      </c>
      <c r="C52" s="69">
        <v>51000</v>
      </c>
      <c r="D52" s="80">
        <f t="shared" si="0"/>
        <v>553.26535040138856</v>
      </c>
    </row>
    <row r="53" spans="1:4" ht="15">
      <c r="A53" s="9" t="s">
        <v>223</v>
      </c>
      <c r="B53" s="69" t="s">
        <v>145</v>
      </c>
      <c r="C53" s="69">
        <v>84870</v>
      </c>
      <c r="D53" s="80">
        <f t="shared" si="0"/>
        <v>920.69863310913422</v>
      </c>
    </row>
    <row r="54" spans="1:4" ht="15">
      <c r="A54" s="9" t="s">
        <v>223</v>
      </c>
      <c r="B54" s="85" t="s">
        <v>67</v>
      </c>
      <c r="C54" s="69">
        <v>54000</v>
      </c>
      <c r="D54" s="80">
        <f t="shared" si="0"/>
        <v>585.81037101323489</v>
      </c>
    </row>
    <row r="55" spans="1:4" ht="15">
      <c r="A55" s="9" t="s">
        <v>223</v>
      </c>
      <c r="B55" s="85" t="s">
        <v>68</v>
      </c>
      <c r="C55" s="69">
        <v>58811</v>
      </c>
      <c r="D55" s="80">
        <f t="shared" si="0"/>
        <v>638.0017357344326</v>
      </c>
    </row>
    <row r="56" spans="1:4" ht="15">
      <c r="A56" s="9" t="s">
        <v>223</v>
      </c>
      <c r="B56" s="85" t="s">
        <v>69</v>
      </c>
      <c r="C56" s="69">
        <v>48449</v>
      </c>
      <c r="D56" s="80">
        <f t="shared" si="0"/>
        <v>525.59123454111511</v>
      </c>
    </row>
    <row r="57" spans="1:4" ht="15">
      <c r="A57" s="9" t="s">
        <v>223</v>
      </c>
      <c r="B57" s="85" t="s">
        <v>65</v>
      </c>
      <c r="C57" s="69">
        <v>62600</v>
      </c>
      <c r="D57" s="80">
        <f t="shared" si="0"/>
        <v>679.10609676719457</v>
      </c>
    </row>
    <row r="58" spans="1:4" ht="15">
      <c r="A58" s="9" t="s">
        <v>223</v>
      </c>
      <c r="B58" s="69" t="s">
        <v>77</v>
      </c>
      <c r="C58" s="69">
        <v>63600</v>
      </c>
      <c r="D58" s="80">
        <f t="shared" si="0"/>
        <v>689.95443697114331</v>
      </c>
    </row>
    <row r="59" spans="1:4" ht="15">
      <c r="A59" s="9" t="s">
        <v>223</v>
      </c>
      <c r="B59" s="85" t="s">
        <v>89</v>
      </c>
      <c r="C59" s="69">
        <v>60470</v>
      </c>
      <c r="D59" s="80">
        <f t="shared" si="0"/>
        <v>655.99913213278364</v>
      </c>
    </row>
    <row r="60" spans="1:4" ht="15">
      <c r="A60" s="9" t="s">
        <v>223</v>
      </c>
      <c r="B60" s="85" t="s">
        <v>206</v>
      </c>
      <c r="C60" s="69">
        <v>70000</v>
      </c>
      <c r="D60" s="80">
        <f t="shared" si="0"/>
        <v>759.38381427641571</v>
      </c>
    </row>
    <row r="61" spans="1:4" ht="15">
      <c r="A61" s="9" t="s">
        <v>223</v>
      </c>
      <c r="B61" s="86" t="s">
        <v>66</v>
      </c>
      <c r="C61" s="69">
        <v>50713</v>
      </c>
      <c r="D61" s="80">
        <f t="shared" si="0"/>
        <v>550.1518767628553</v>
      </c>
    </row>
    <row r="62" spans="1:4" ht="15">
      <c r="A62" s="9" t="s">
        <v>223</v>
      </c>
      <c r="B62" s="85" t="s">
        <v>153</v>
      </c>
      <c r="C62" s="69">
        <v>121000</v>
      </c>
      <c r="D62" s="80">
        <f t="shared" si="0"/>
        <v>1312.6491646778043</v>
      </c>
    </row>
    <row r="63" spans="1:4" ht="15">
      <c r="A63" s="9" t="s">
        <v>223</v>
      </c>
      <c r="B63" s="85" t="s">
        <v>154</v>
      </c>
      <c r="C63" s="69">
        <v>47000</v>
      </c>
      <c r="D63" s="80">
        <f t="shared" si="0"/>
        <v>509.87198958559338</v>
      </c>
    </row>
    <row r="64" spans="1:4" ht="15">
      <c r="A64" s="9" t="s">
        <v>223</v>
      </c>
      <c r="B64" s="69" t="s">
        <v>157</v>
      </c>
      <c r="C64" s="69">
        <v>60600</v>
      </c>
      <c r="D64" s="80">
        <f t="shared" si="0"/>
        <v>657.40941635929698</v>
      </c>
    </row>
    <row r="65" spans="1:4" ht="15">
      <c r="A65" s="9" t="s">
        <v>223</v>
      </c>
      <c r="B65" s="85" t="s">
        <v>158</v>
      </c>
      <c r="C65" s="69">
        <v>47175</v>
      </c>
      <c r="D65" s="80">
        <f t="shared" si="0"/>
        <v>511.7704491212844</v>
      </c>
    </row>
    <row r="66" spans="1:4" ht="15">
      <c r="A66" s="9" t="s">
        <v>223</v>
      </c>
      <c r="B66" s="85" t="s">
        <v>207</v>
      </c>
      <c r="C66" s="69">
        <v>60000</v>
      </c>
      <c r="D66" s="80">
        <f t="shared" si="0"/>
        <v>650.90041223692765</v>
      </c>
    </row>
    <row r="67" spans="1:4" ht="15">
      <c r="A67" s="9" t="s">
        <v>223</v>
      </c>
      <c r="B67" s="85" t="s">
        <v>81</v>
      </c>
      <c r="C67" s="69">
        <v>88835</v>
      </c>
      <c r="D67" s="80">
        <f t="shared" si="0"/>
        <v>963.71230201779122</v>
      </c>
    </row>
    <row r="68" spans="1:4" ht="15">
      <c r="A68" s="9" t="s">
        <v>223</v>
      </c>
      <c r="B68" s="85" t="s">
        <v>208</v>
      </c>
      <c r="C68" s="69">
        <v>57585</v>
      </c>
      <c r="D68" s="80">
        <f t="shared" si="0"/>
        <v>624.70167064439136</v>
      </c>
    </row>
    <row r="69" spans="1:4" ht="15">
      <c r="A69" s="9" t="s">
        <v>223</v>
      </c>
      <c r="B69" s="85" t="s">
        <v>160</v>
      </c>
      <c r="C69" s="69">
        <v>50711</v>
      </c>
      <c r="D69" s="80">
        <f t="shared" si="0"/>
        <v>550.1301800824474</v>
      </c>
    </row>
    <row r="70" spans="1:4" ht="16">
      <c r="A70" s="9" t="s">
        <v>223</v>
      </c>
      <c r="B70" s="81" t="s">
        <v>58</v>
      </c>
      <c r="C70" s="69">
        <v>107930</v>
      </c>
      <c r="D70" s="80">
        <f t="shared" si="0"/>
        <v>1170.8613582121934</v>
      </c>
    </row>
    <row r="71" spans="1:4" ht="15">
      <c r="A71" s="9" t="s">
        <v>223</v>
      </c>
      <c r="B71" s="87" t="s">
        <v>54</v>
      </c>
      <c r="C71" s="69">
        <v>172500</v>
      </c>
      <c r="D71" s="80">
        <f t="shared" si="0"/>
        <v>1871.3386851811672</v>
      </c>
    </row>
    <row r="72" spans="1:4" ht="15">
      <c r="A72" s="9" t="s">
        <v>223</v>
      </c>
      <c r="B72" s="87" t="s">
        <v>55</v>
      </c>
      <c r="C72" s="69">
        <v>300000</v>
      </c>
      <c r="D72" s="80">
        <f t="shared" si="0"/>
        <v>3254.5020611846385</v>
      </c>
    </row>
    <row r="73" spans="1:4" ht="15">
      <c r="A73" s="9" t="s">
        <v>223</v>
      </c>
      <c r="B73" s="87" t="s">
        <v>164</v>
      </c>
      <c r="C73" s="69">
        <v>218000</v>
      </c>
      <c r="D73" s="80">
        <f t="shared" si="0"/>
        <v>2364.9381644608375</v>
      </c>
    </row>
    <row r="74" spans="1:4" ht="15">
      <c r="A74" s="9" t="s">
        <v>223</v>
      </c>
      <c r="B74" s="87" t="s">
        <v>224</v>
      </c>
      <c r="C74" s="69">
        <v>29898</v>
      </c>
      <c r="D74" s="80">
        <f t="shared" si="0"/>
        <v>324.34367541766107</v>
      </c>
    </row>
    <row r="75" spans="1:4" ht="15">
      <c r="A75" s="9" t="s">
        <v>223</v>
      </c>
      <c r="B75" s="87" t="s">
        <v>225</v>
      </c>
      <c r="C75" s="69">
        <v>10636</v>
      </c>
      <c r="D75" s="80">
        <f t="shared" si="0"/>
        <v>115.38294640919938</v>
      </c>
    </row>
    <row r="76" spans="1:4" ht="15">
      <c r="A76" s="9" t="s">
        <v>223</v>
      </c>
      <c r="B76" s="87" t="s">
        <v>71</v>
      </c>
      <c r="C76" s="69">
        <v>114920</v>
      </c>
      <c r="D76" s="80">
        <f t="shared" si="0"/>
        <v>1246.6912562377954</v>
      </c>
    </row>
    <row r="77" spans="1:4" ht="15">
      <c r="C77" s="69"/>
      <c r="D77" s="80"/>
    </row>
    <row r="78" spans="1:4" ht="15">
      <c r="C78" s="69"/>
      <c r="D78" s="80"/>
    </row>
    <row r="79" spans="1:4" ht="15">
      <c r="C79" s="69"/>
      <c r="D79" s="80"/>
    </row>
    <row r="80" spans="1:4" ht="15">
      <c r="C80" s="69"/>
      <c r="D80" s="80"/>
    </row>
    <row r="81" spans="3:4" ht="15">
      <c r="C81" s="69"/>
      <c r="D81" s="80"/>
    </row>
    <row r="82" spans="3:4" ht="15">
      <c r="C82" s="69"/>
      <c r="D82" s="80"/>
    </row>
    <row r="83" spans="3:4" ht="15">
      <c r="C83" s="69"/>
      <c r="D83" s="80"/>
    </row>
    <row r="84" spans="3:4" ht="15">
      <c r="C84" s="69"/>
      <c r="D84" s="80"/>
    </row>
    <row r="85" spans="3:4" ht="15">
      <c r="C85" s="69"/>
      <c r="D85" s="80"/>
    </row>
    <row r="86" spans="3:4" ht="15">
      <c r="C86" s="69"/>
      <c r="D86" s="80"/>
    </row>
    <row r="87" spans="3:4" ht="15">
      <c r="C87" s="69"/>
      <c r="D87" s="80"/>
    </row>
    <row r="88" spans="3:4" ht="15">
      <c r="C88" s="69"/>
      <c r="D88" s="80"/>
    </row>
    <row r="89" spans="3:4" ht="13">
      <c r="C89" s="89"/>
      <c r="D89" s="80"/>
    </row>
    <row r="90" spans="3:4" ht="13">
      <c r="C90" s="89"/>
      <c r="D90" s="80"/>
    </row>
    <row r="91" spans="3:4" ht="13">
      <c r="C91" s="89"/>
      <c r="D91" s="80"/>
    </row>
    <row r="92" spans="3:4" ht="13">
      <c r="C92" s="89"/>
      <c r="D92" s="80"/>
    </row>
    <row r="93" spans="3:4" ht="13">
      <c r="C93" s="89"/>
      <c r="D93" s="80"/>
    </row>
    <row r="94" spans="3:4" ht="13">
      <c r="C94" s="89"/>
      <c r="D94" s="80"/>
    </row>
    <row r="95" spans="3:4" ht="13">
      <c r="C95" s="89"/>
      <c r="D95" s="80"/>
    </row>
    <row r="96" spans="3:4" ht="13">
      <c r="C96" s="89"/>
      <c r="D96" s="80"/>
    </row>
    <row r="97" spans="3:4" ht="13">
      <c r="C97" s="89"/>
      <c r="D97" s="80"/>
    </row>
    <row r="98" spans="3:4" ht="13">
      <c r="C98" s="89"/>
      <c r="D98" s="80"/>
    </row>
    <row r="99" spans="3:4" ht="13">
      <c r="C99" s="89"/>
      <c r="D99" s="80"/>
    </row>
    <row r="100" spans="3:4" ht="13">
      <c r="C100" s="89"/>
      <c r="D100" s="80"/>
    </row>
    <row r="101" spans="3:4" ht="13">
      <c r="C101" s="89"/>
      <c r="D101" s="80"/>
    </row>
    <row r="102" spans="3:4" ht="13">
      <c r="C102" s="89"/>
      <c r="D102" s="80"/>
    </row>
    <row r="103" spans="3:4" ht="13">
      <c r="C103" s="89"/>
      <c r="D103" s="80"/>
    </row>
    <row r="104" spans="3:4" ht="13">
      <c r="C104" s="89"/>
      <c r="D104" s="80"/>
    </row>
    <row r="105" spans="3:4" ht="13">
      <c r="C105" s="89"/>
      <c r="D105" s="80"/>
    </row>
    <row r="106" spans="3:4" ht="13">
      <c r="C106" s="89"/>
      <c r="D106" s="80"/>
    </row>
    <row r="107" spans="3:4" ht="13">
      <c r="C107" s="89"/>
      <c r="D107" s="80"/>
    </row>
    <row r="108" spans="3:4" ht="13">
      <c r="C108" s="89"/>
      <c r="D108" s="80"/>
    </row>
    <row r="109" spans="3:4" ht="13">
      <c r="C109" s="89"/>
      <c r="D109" s="80"/>
    </row>
    <row r="110" spans="3:4" ht="13">
      <c r="C110" s="89"/>
      <c r="D110" s="80"/>
    </row>
    <row r="111" spans="3:4" ht="13">
      <c r="C111" s="89"/>
      <c r="D111" s="80"/>
    </row>
    <row r="112" spans="3:4" ht="13">
      <c r="C112" s="89"/>
      <c r="D112" s="80"/>
    </row>
    <row r="113" spans="3:4" ht="13">
      <c r="C113" s="89"/>
      <c r="D113" s="80"/>
    </row>
    <row r="114" spans="3:4" ht="13">
      <c r="C114" s="89"/>
      <c r="D114" s="80"/>
    </row>
    <row r="115" spans="3:4" ht="13">
      <c r="C115" s="89"/>
      <c r="D115" s="80"/>
    </row>
    <row r="116" spans="3:4" ht="13">
      <c r="C116" s="89"/>
      <c r="D116" s="80"/>
    </row>
    <row r="117" spans="3:4" ht="13">
      <c r="C117" s="89"/>
      <c r="D117" s="80"/>
    </row>
    <row r="118" spans="3:4" ht="13">
      <c r="C118" s="89"/>
      <c r="D118" s="80"/>
    </row>
    <row r="119" spans="3:4" ht="13">
      <c r="C119" s="89"/>
      <c r="D119" s="80"/>
    </row>
    <row r="120" spans="3:4" ht="13">
      <c r="C120" s="89"/>
      <c r="D120" s="80"/>
    </row>
    <row r="121" spans="3:4" ht="13">
      <c r="C121" s="89"/>
      <c r="D121" s="80"/>
    </row>
    <row r="122" spans="3:4" ht="13">
      <c r="C122" s="89"/>
      <c r="D122" s="80"/>
    </row>
    <row r="123" spans="3:4" ht="13">
      <c r="C123" s="89"/>
      <c r="D123" s="80"/>
    </row>
    <row r="124" spans="3:4" ht="13">
      <c r="C124" s="89"/>
      <c r="D124" s="80"/>
    </row>
    <row r="125" spans="3:4" ht="13">
      <c r="C125" s="89"/>
      <c r="D125" s="80"/>
    </row>
    <row r="126" spans="3:4" ht="13">
      <c r="C126" s="89"/>
      <c r="D126" s="80"/>
    </row>
    <row r="127" spans="3:4" ht="13">
      <c r="C127" s="89"/>
      <c r="D127" s="80"/>
    </row>
    <row r="128" spans="3:4" ht="13">
      <c r="C128" s="89"/>
      <c r="D128" s="80"/>
    </row>
    <row r="129" spans="3:4" ht="13">
      <c r="C129" s="89"/>
      <c r="D129" s="80"/>
    </row>
    <row r="130" spans="3:4" ht="13">
      <c r="C130" s="89"/>
      <c r="D130" s="80"/>
    </row>
    <row r="131" spans="3:4" ht="13">
      <c r="C131" s="89"/>
      <c r="D131" s="80"/>
    </row>
    <row r="132" spans="3:4" ht="13">
      <c r="C132" s="89"/>
      <c r="D132" s="80"/>
    </row>
    <row r="133" spans="3:4" ht="13">
      <c r="C133" s="89"/>
      <c r="D133" s="80"/>
    </row>
    <row r="134" spans="3:4" ht="13">
      <c r="C134" s="89"/>
      <c r="D134" s="80"/>
    </row>
    <row r="135" spans="3:4" ht="13">
      <c r="C135" s="89"/>
      <c r="D135" s="80"/>
    </row>
    <row r="136" spans="3:4" ht="13">
      <c r="C136" s="89"/>
      <c r="D136" s="80"/>
    </row>
    <row r="137" spans="3:4" ht="13">
      <c r="C137" s="89"/>
      <c r="D137" s="80"/>
    </row>
    <row r="138" spans="3:4" ht="13">
      <c r="C138" s="89"/>
      <c r="D138" s="80"/>
    </row>
    <row r="139" spans="3:4" ht="13">
      <c r="C139" s="89"/>
      <c r="D139" s="80"/>
    </row>
    <row r="140" spans="3:4" ht="13">
      <c r="C140" s="89"/>
      <c r="D140" s="80"/>
    </row>
    <row r="141" spans="3:4" ht="13">
      <c r="C141" s="89"/>
      <c r="D141" s="80"/>
    </row>
    <row r="142" spans="3:4" ht="13">
      <c r="C142" s="89"/>
      <c r="D142" s="80"/>
    </row>
    <row r="143" spans="3:4" ht="13">
      <c r="C143" s="89"/>
      <c r="D143" s="80"/>
    </row>
    <row r="144" spans="3:4" ht="13">
      <c r="C144" s="89"/>
      <c r="D144" s="80"/>
    </row>
    <row r="145" spans="3:4" ht="13">
      <c r="C145" s="89"/>
      <c r="D145" s="80"/>
    </row>
    <row r="146" spans="3:4" ht="13">
      <c r="C146" s="89"/>
      <c r="D146" s="80"/>
    </row>
    <row r="147" spans="3:4" ht="13">
      <c r="C147" s="89"/>
      <c r="D147" s="80"/>
    </row>
    <row r="148" spans="3:4" ht="13">
      <c r="C148" s="89"/>
      <c r="D148" s="80"/>
    </row>
    <row r="149" spans="3:4" ht="13">
      <c r="C149" s="89"/>
      <c r="D149" s="80"/>
    </row>
    <row r="150" spans="3:4" ht="13">
      <c r="C150" s="89"/>
      <c r="D150" s="80"/>
    </row>
    <row r="151" spans="3:4" ht="13">
      <c r="C151" s="89"/>
      <c r="D151" s="80"/>
    </row>
    <row r="152" spans="3:4" ht="13">
      <c r="C152" s="89"/>
      <c r="D152" s="80"/>
    </row>
    <row r="153" spans="3:4" ht="13">
      <c r="C153" s="89"/>
      <c r="D153" s="80"/>
    </row>
    <row r="154" spans="3:4" ht="13">
      <c r="C154" s="89"/>
      <c r="D154" s="80"/>
    </row>
    <row r="155" spans="3:4" ht="13">
      <c r="C155" s="89"/>
      <c r="D155" s="80"/>
    </row>
    <row r="156" spans="3:4" ht="13">
      <c r="C156" s="89"/>
      <c r="D156" s="80"/>
    </row>
    <row r="157" spans="3:4" ht="13">
      <c r="C157" s="89"/>
      <c r="D157" s="80"/>
    </row>
    <row r="158" spans="3:4" ht="13">
      <c r="C158" s="89"/>
      <c r="D158" s="80"/>
    </row>
    <row r="159" spans="3:4" ht="13">
      <c r="C159" s="89"/>
      <c r="D159" s="80"/>
    </row>
    <row r="160" spans="3:4" ht="13">
      <c r="C160" s="89"/>
      <c r="D160" s="80"/>
    </row>
    <row r="161" spans="3:4" ht="13">
      <c r="C161" s="89"/>
      <c r="D161" s="80"/>
    </row>
    <row r="162" spans="3:4" ht="13">
      <c r="C162" s="89"/>
      <c r="D162" s="80"/>
    </row>
    <row r="163" spans="3:4" ht="13">
      <c r="C163" s="89"/>
      <c r="D163" s="80"/>
    </row>
    <row r="164" spans="3:4" ht="13">
      <c r="C164" s="89"/>
      <c r="D164" s="80"/>
    </row>
    <row r="165" spans="3:4" ht="13">
      <c r="C165" s="89"/>
      <c r="D165" s="80"/>
    </row>
    <row r="166" spans="3:4" ht="13">
      <c r="C166" s="89"/>
      <c r="D166" s="80"/>
    </row>
    <row r="167" spans="3:4" ht="13">
      <c r="C167" s="89"/>
      <c r="D167" s="80"/>
    </row>
    <row r="168" spans="3:4" ht="13">
      <c r="C168" s="89"/>
      <c r="D168" s="80"/>
    </row>
    <row r="169" spans="3:4" ht="13">
      <c r="C169" s="89"/>
      <c r="D169" s="80"/>
    </row>
    <row r="170" spans="3:4" ht="13">
      <c r="C170" s="89"/>
      <c r="D170" s="80"/>
    </row>
    <row r="171" spans="3:4" ht="13">
      <c r="C171" s="89"/>
      <c r="D171" s="80"/>
    </row>
    <row r="172" spans="3:4" ht="13">
      <c r="C172" s="89"/>
      <c r="D172" s="80"/>
    </row>
    <row r="173" spans="3:4" ht="13">
      <c r="C173" s="89"/>
      <c r="D173" s="80"/>
    </row>
    <row r="174" spans="3:4" ht="13">
      <c r="C174" s="89"/>
      <c r="D174" s="80"/>
    </row>
    <row r="175" spans="3:4" ht="13">
      <c r="C175" s="89"/>
      <c r="D175" s="80"/>
    </row>
    <row r="176" spans="3:4" ht="13">
      <c r="C176" s="89"/>
      <c r="D176" s="80"/>
    </row>
    <row r="177" spans="3:4" ht="13">
      <c r="C177" s="89"/>
      <c r="D177" s="80"/>
    </row>
    <row r="178" spans="3:4" ht="13">
      <c r="C178" s="89"/>
      <c r="D178" s="80"/>
    </row>
    <row r="179" spans="3:4" ht="13">
      <c r="C179" s="89"/>
      <c r="D179" s="80"/>
    </row>
    <row r="180" spans="3:4" ht="13">
      <c r="C180" s="89"/>
      <c r="D180" s="80"/>
    </row>
    <row r="181" spans="3:4" ht="13">
      <c r="C181" s="89"/>
      <c r="D181" s="80"/>
    </row>
    <row r="182" spans="3:4" ht="13">
      <c r="C182" s="89"/>
      <c r="D182" s="80"/>
    </row>
    <row r="183" spans="3:4" ht="13">
      <c r="C183" s="89"/>
      <c r="D183" s="80"/>
    </row>
    <row r="184" spans="3:4" ht="13">
      <c r="C184" s="89"/>
      <c r="D184" s="80"/>
    </row>
    <row r="185" spans="3:4" ht="13">
      <c r="C185" s="89"/>
      <c r="D185" s="80"/>
    </row>
    <row r="186" spans="3:4" ht="13">
      <c r="C186" s="89"/>
      <c r="D186" s="80"/>
    </row>
    <row r="187" spans="3:4" ht="13">
      <c r="C187" s="89"/>
      <c r="D187" s="80"/>
    </row>
    <row r="188" spans="3:4" ht="13">
      <c r="C188" s="89"/>
      <c r="D188" s="80"/>
    </row>
    <row r="189" spans="3:4" ht="13">
      <c r="C189" s="89"/>
      <c r="D189" s="80"/>
    </row>
    <row r="190" spans="3:4" ht="13">
      <c r="C190" s="89"/>
      <c r="D190" s="80"/>
    </row>
    <row r="191" spans="3:4" ht="13">
      <c r="C191" s="89"/>
      <c r="D191" s="80"/>
    </row>
    <row r="192" spans="3:4" ht="13">
      <c r="C192" s="89"/>
      <c r="D192" s="80"/>
    </row>
    <row r="193" spans="3:4" ht="13">
      <c r="C193" s="89"/>
      <c r="D193" s="80"/>
    </row>
    <row r="194" spans="3:4" ht="13">
      <c r="C194" s="89"/>
      <c r="D194" s="80"/>
    </row>
    <row r="195" spans="3:4" ht="13">
      <c r="C195" s="89"/>
      <c r="D195" s="80"/>
    </row>
    <row r="196" spans="3:4" ht="13">
      <c r="C196" s="89"/>
      <c r="D196" s="80"/>
    </row>
    <row r="197" spans="3:4" ht="13">
      <c r="C197" s="89"/>
      <c r="D197" s="80"/>
    </row>
    <row r="198" spans="3:4" ht="13">
      <c r="C198" s="89"/>
      <c r="D198" s="80"/>
    </row>
    <row r="199" spans="3:4" ht="13">
      <c r="C199" s="89"/>
      <c r="D199" s="80"/>
    </row>
    <row r="200" spans="3:4" ht="13">
      <c r="C200" s="89"/>
      <c r="D200" s="80"/>
    </row>
    <row r="201" spans="3:4" ht="13">
      <c r="C201" s="89"/>
      <c r="D201" s="80"/>
    </row>
    <row r="202" spans="3:4" ht="13">
      <c r="C202" s="89"/>
      <c r="D202" s="80"/>
    </row>
    <row r="203" spans="3:4" ht="13">
      <c r="C203" s="89"/>
      <c r="D203" s="80"/>
    </row>
    <row r="204" spans="3:4" ht="13">
      <c r="C204" s="89"/>
      <c r="D204" s="80"/>
    </row>
    <row r="205" spans="3:4" ht="13">
      <c r="C205" s="89"/>
      <c r="D205" s="80"/>
    </row>
    <row r="206" spans="3:4" ht="13">
      <c r="C206" s="89"/>
      <c r="D206" s="80"/>
    </row>
    <row r="207" spans="3:4" ht="13">
      <c r="C207" s="89"/>
      <c r="D207" s="80"/>
    </row>
    <row r="208" spans="3:4" ht="13">
      <c r="C208" s="89"/>
      <c r="D208" s="80"/>
    </row>
    <row r="209" spans="3:4" ht="13">
      <c r="C209" s="89"/>
      <c r="D209" s="80"/>
    </row>
    <row r="210" spans="3:4" ht="13">
      <c r="C210" s="89"/>
      <c r="D210" s="80"/>
    </row>
    <row r="211" spans="3:4" ht="13">
      <c r="C211" s="89"/>
      <c r="D211" s="80"/>
    </row>
    <row r="212" spans="3:4" ht="13">
      <c r="C212" s="89"/>
      <c r="D212" s="80"/>
    </row>
    <row r="213" spans="3:4" ht="13">
      <c r="C213" s="89"/>
      <c r="D213" s="80"/>
    </row>
    <row r="214" spans="3:4" ht="13">
      <c r="C214" s="89"/>
      <c r="D214" s="80"/>
    </row>
    <row r="215" spans="3:4" ht="13">
      <c r="C215" s="89"/>
      <c r="D215" s="80"/>
    </row>
    <row r="216" spans="3:4" ht="13">
      <c r="C216" s="89"/>
      <c r="D216" s="80"/>
    </row>
    <row r="217" spans="3:4" ht="13">
      <c r="C217" s="89"/>
      <c r="D217" s="80"/>
    </row>
    <row r="218" spans="3:4" ht="13">
      <c r="C218" s="89"/>
      <c r="D218" s="80"/>
    </row>
    <row r="219" spans="3:4" ht="13">
      <c r="C219" s="89"/>
      <c r="D219" s="80"/>
    </row>
    <row r="220" spans="3:4" ht="13">
      <c r="C220" s="89"/>
      <c r="D220" s="80"/>
    </row>
    <row r="221" spans="3:4" ht="13">
      <c r="C221" s="89"/>
      <c r="D221" s="80"/>
    </row>
    <row r="222" spans="3:4" ht="13">
      <c r="C222" s="89"/>
      <c r="D222" s="80"/>
    </row>
    <row r="223" spans="3:4" ht="13">
      <c r="C223" s="89"/>
      <c r="D223" s="80"/>
    </row>
    <row r="224" spans="3:4" ht="13">
      <c r="C224" s="89"/>
      <c r="D224" s="80"/>
    </row>
    <row r="225" spans="3:4" ht="13">
      <c r="C225" s="89"/>
      <c r="D225" s="80"/>
    </row>
    <row r="226" spans="3:4" ht="13">
      <c r="C226" s="89"/>
      <c r="D226" s="80"/>
    </row>
    <row r="227" spans="3:4" ht="13">
      <c r="C227" s="89"/>
      <c r="D227" s="80"/>
    </row>
    <row r="228" spans="3:4" ht="13">
      <c r="C228" s="89"/>
      <c r="D228" s="80"/>
    </row>
    <row r="229" spans="3:4" ht="13">
      <c r="C229" s="89"/>
      <c r="D229" s="80"/>
    </row>
    <row r="230" spans="3:4" ht="13">
      <c r="C230" s="89"/>
      <c r="D230" s="80"/>
    </row>
    <row r="231" spans="3:4" ht="13">
      <c r="C231" s="89"/>
      <c r="D231" s="80"/>
    </row>
    <row r="232" spans="3:4" ht="13">
      <c r="C232" s="89"/>
      <c r="D232" s="80"/>
    </row>
    <row r="233" spans="3:4" ht="13">
      <c r="C233" s="89"/>
      <c r="D233" s="80"/>
    </row>
    <row r="234" spans="3:4" ht="13">
      <c r="C234" s="89"/>
      <c r="D234" s="80"/>
    </row>
    <row r="235" spans="3:4" ht="13">
      <c r="C235" s="89"/>
      <c r="D235" s="80"/>
    </row>
    <row r="236" spans="3:4" ht="13">
      <c r="C236" s="89"/>
      <c r="D236" s="80"/>
    </row>
    <row r="237" spans="3:4" ht="13">
      <c r="C237" s="89"/>
      <c r="D237" s="80"/>
    </row>
    <row r="238" spans="3:4" ht="13">
      <c r="C238" s="89"/>
      <c r="D238" s="80"/>
    </row>
    <row r="239" spans="3:4" ht="13">
      <c r="C239" s="89"/>
      <c r="D239" s="80"/>
    </row>
    <row r="240" spans="3:4" ht="13">
      <c r="C240" s="89"/>
      <c r="D240" s="80"/>
    </row>
    <row r="241" spans="3:4" ht="13">
      <c r="C241" s="89"/>
      <c r="D241" s="80"/>
    </row>
    <row r="242" spans="3:4" ht="13">
      <c r="C242" s="89"/>
      <c r="D242" s="80"/>
    </row>
    <row r="243" spans="3:4" ht="13">
      <c r="C243" s="89"/>
      <c r="D243" s="80"/>
    </row>
    <row r="244" spans="3:4" ht="13">
      <c r="C244" s="89"/>
      <c r="D244" s="80"/>
    </row>
    <row r="245" spans="3:4" ht="13">
      <c r="C245" s="89"/>
      <c r="D245" s="80"/>
    </row>
    <row r="246" spans="3:4" ht="13">
      <c r="C246" s="89"/>
      <c r="D246" s="80"/>
    </row>
    <row r="247" spans="3:4" ht="13">
      <c r="C247" s="89"/>
      <c r="D247" s="80"/>
    </row>
    <row r="248" spans="3:4" ht="13">
      <c r="C248" s="89"/>
      <c r="D248" s="80"/>
    </row>
    <row r="249" spans="3:4" ht="13">
      <c r="C249" s="89"/>
      <c r="D249" s="80"/>
    </row>
    <row r="250" spans="3:4" ht="13">
      <c r="C250" s="89"/>
      <c r="D250" s="80"/>
    </row>
    <row r="251" spans="3:4" ht="13">
      <c r="C251" s="89"/>
      <c r="D251" s="80"/>
    </row>
    <row r="252" spans="3:4" ht="13">
      <c r="C252" s="89"/>
      <c r="D252" s="80"/>
    </row>
    <row r="253" spans="3:4" ht="13">
      <c r="C253" s="89"/>
      <c r="D253" s="80"/>
    </row>
    <row r="254" spans="3:4" ht="13">
      <c r="C254" s="89"/>
      <c r="D254" s="80"/>
    </row>
    <row r="255" spans="3:4" ht="13">
      <c r="C255" s="89"/>
      <c r="D255" s="80"/>
    </row>
    <row r="256" spans="3:4" ht="13">
      <c r="C256" s="89"/>
      <c r="D256" s="80"/>
    </row>
    <row r="257" spans="3:4" ht="13">
      <c r="C257" s="89"/>
      <c r="D257" s="80"/>
    </row>
    <row r="258" spans="3:4" ht="13">
      <c r="C258" s="89"/>
      <c r="D258" s="80"/>
    </row>
    <row r="259" spans="3:4" ht="13">
      <c r="C259" s="89"/>
      <c r="D259" s="80"/>
    </row>
    <row r="260" spans="3:4" ht="13">
      <c r="C260" s="89"/>
      <c r="D260" s="80"/>
    </row>
    <row r="261" spans="3:4" ht="13">
      <c r="C261" s="89"/>
      <c r="D261" s="80"/>
    </row>
    <row r="262" spans="3:4" ht="13">
      <c r="C262" s="89"/>
      <c r="D262" s="80"/>
    </row>
    <row r="263" spans="3:4" ht="13">
      <c r="C263" s="89"/>
      <c r="D263" s="80"/>
    </row>
    <row r="264" spans="3:4" ht="13">
      <c r="C264" s="89"/>
      <c r="D264" s="80"/>
    </row>
    <row r="265" spans="3:4" ht="13">
      <c r="C265" s="89"/>
      <c r="D265" s="80"/>
    </row>
    <row r="266" spans="3:4" ht="13">
      <c r="C266" s="89"/>
      <c r="D266" s="80"/>
    </row>
    <row r="267" spans="3:4" ht="13">
      <c r="C267" s="89"/>
      <c r="D267" s="80"/>
    </row>
    <row r="268" spans="3:4" ht="13">
      <c r="C268" s="89"/>
      <c r="D268" s="80"/>
    </row>
    <row r="269" spans="3:4" ht="13">
      <c r="C269" s="89"/>
      <c r="D269" s="80"/>
    </row>
    <row r="270" spans="3:4" ht="13">
      <c r="C270" s="89"/>
      <c r="D270" s="80"/>
    </row>
    <row r="271" spans="3:4" ht="13">
      <c r="C271" s="89"/>
      <c r="D271" s="80"/>
    </row>
    <row r="272" spans="3:4" ht="13">
      <c r="C272" s="89"/>
      <c r="D272" s="80"/>
    </row>
    <row r="273" spans="3:4" ht="13">
      <c r="C273" s="89"/>
      <c r="D273" s="80"/>
    </row>
    <row r="274" spans="3:4" ht="13">
      <c r="C274" s="89"/>
      <c r="D274" s="80"/>
    </row>
    <row r="275" spans="3:4" ht="13">
      <c r="C275" s="89"/>
      <c r="D275" s="80"/>
    </row>
    <row r="276" spans="3:4" ht="13">
      <c r="C276" s="89"/>
      <c r="D276" s="80"/>
    </row>
    <row r="277" spans="3:4" ht="13">
      <c r="C277" s="89"/>
      <c r="D277" s="80"/>
    </row>
    <row r="278" spans="3:4" ht="13">
      <c r="C278" s="89"/>
      <c r="D278" s="80"/>
    </row>
    <row r="279" spans="3:4" ht="13">
      <c r="C279" s="89"/>
      <c r="D279" s="80"/>
    </row>
    <row r="280" spans="3:4" ht="13">
      <c r="C280" s="89"/>
      <c r="D280" s="80"/>
    </row>
    <row r="281" spans="3:4" ht="13">
      <c r="C281" s="89"/>
      <c r="D281" s="80"/>
    </row>
    <row r="282" spans="3:4" ht="13">
      <c r="C282" s="89"/>
      <c r="D282" s="80"/>
    </row>
    <row r="283" spans="3:4" ht="13">
      <c r="C283" s="89"/>
      <c r="D283" s="80"/>
    </row>
    <row r="284" spans="3:4" ht="13">
      <c r="C284" s="89"/>
      <c r="D284" s="80"/>
    </row>
    <row r="285" spans="3:4" ht="13">
      <c r="C285" s="89"/>
      <c r="D285" s="80"/>
    </row>
    <row r="286" spans="3:4" ht="13">
      <c r="C286" s="89"/>
      <c r="D286" s="80"/>
    </row>
    <row r="287" spans="3:4" ht="13">
      <c r="C287" s="89"/>
      <c r="D287" s="80"/>
    </row>
    <row r="288" spans="3:4" ht="13">
      <c r="C288" s="89"/>
      <c r="D288" s="80"/>
    </row>
    <row r="289" spans="3:4" ht="13">
      <c r="C289" s="89"/>
      <c r="D289" s="80"/>
    </row>
    <row r="290" spans="3:4" ht="13">
      <c r="C290" s="89"/>
      <c r="D290" s="80"/>
    </row>
    <row r="291" spans="3:4" ht="13">
      <c r="C291" s="89"/>
      <c r="D291" s="80"/>
    </row>
    <row r="292" spans="3:4" ht="13">
      <c r="C292" s="89"/>
      <c r="D292" s="80"/>
    </row>
    <row r="293" spans="3:4" ht="13">
      <c r="C293" s="89"/>
      <c r="D293" s="80"/>
    </row>
    <row r="294" spans="3:4" ht="13">
      <c r="C294" s="89"/>
      <c r="D294" s="80"/>
    </row>
    <row r="295" spans="3:4" ht="13">
      <c r="C295" s="89"/>
      <c r="D295" s="80"/>
    </row>
    <row r="296" spans="3:4" ht="13">
      <c r="C296" s="89"/>
      <c r="D296" s="80"/>
    </row>
    <row r="297" spans="3:4" ht="13">
      <c r="C297" s="89"/>
      <c r="D297" s="80"/>
    </row>
    <row r="298" spans="3:4" ht="13">
      <c r="C298" s="89"/>
      <c r="D298" s="80"/>
    </row>
    <row r="299" spans="3:4" ht="13">
      <c r="C299" s="89"/>
      <c r="D299" s="80"/>
    </row>
    <row r="300" spans="3:4" ht="13">
      <c r="C300" s="89"/>
      <c r="D300" s="80"/>
    </row>
    <row r="301" spans="3:4" ht="13">
      <c r="C301" s="89"/>
      <c r="D301" s="80"/>
    </row>
    <row r="302" spans="3:4" ht="13">
      <c r="C302" s="89"/>
      <c r="D302" s="80"/>
    </row>
    <row r="303" spans="3:4" ht="13">
      <c r="C303" s="89"/>
      <c r="D303" s="80"/>
    </row>
    <row r="304" spans="3:4" ht="13">
      <c r="C304" s="89"/>
      <c r="D304" s="80"/>
    </row>
    <row r="305" spans="3:4" ht="13">
      <c r="C305" s="89"/>
      <c r="D305" s="80"/>
    </row>
    <row r="306" spans="3:4" ht="13">
      <c r="C306" s="89"/>
      <c r="D306" s="80"/>
    </row>
    <row r="307" spans="3:4" ht="13">
      <c r="C307" s="89"/>
      <c r="D307" s="80"/>
    </row>
    <row r="308" spans="3:4" ht="13">
      <c r="C308" s="89"/>
      <c r="D308" s="80"/>
    </row>
    <row r="309" spans="3:4" ht="13">
      <c r="C309" s="89"/>
      <c r="D309" s="80"/>
    </row>
    <row r="310" spans="3:4" ht="13">
      <c r="C310" s="89"/>
      <c r="D310" s="80"/>
    </row>
    <row r="311" spans="3:4" ht="13">
      <c r="C311" s="89"/>
      <c r="D311" s="80"/>
    </row>
    <row r="312" spans="3:4" ht="13">
      <c r="C312" s="89"/>
      <c r="D312" s="80"/>
    </row>
    <row r="313" spans="3:4" ht="13">
      <c r="C313" s="89"/>
      <c r="D313" s="80"/>
    </row>
    <row r="314" spans="3:4" ht="13">
      <c r="C314" s="89"/>
      <c r="D314" s="80"/>
    </row>
    <row r="315" spans="3:4" ht="13">
      <c r="C315" s="89"/>
      <c r="D315" s="80"/>
    </row>
    <row r="316" spans="3:4" ht="13">
      <c r="C316" s="89"/>
      <c r="D316" s="80"/>
    </row>
    <row r="317" spans="3:4" ht="13">
      <c r="C317" s="89"/>
      <c r="D317" s="80"/>
    </row>
    <row r="318" spans="3:4" ht="13">
      <c r="C318" s="89"/>
      <c r="D318" s="80"/>
    </row>
    <row r="319" spans="3:4" ht="13">
      <c r="C319" s="89"/>
      <c r="D319" s="80"/>
    </row>
    <row r="320" spans="3:4" ht="13">
      <c r="C320" s="89"/>
      <c r="D320" s="80"/>
    </row>
    <row r="321" spans="3:4" ht="13">
      <c r="C321" s="89"/>
      <c r="D321" s="80"/>
    </row>
    <row r="322" spans="3:4" ht="13">
      <c r="C322" s="89"/>
      <c r="D322" s="80"/>
    </row>
    <row r="323" spans="3:4" ht="13">
      <c r="C323" s="89"/>
      <c r="D323" s="80"/>
    </row>
    <row r="324" spans="3:4" ht="13">
      <c r="C324" s="89"/>
      <c r="D324" s="80"/>
    </row>
    <row r="325" spans="3:4" ht="13">
      <c r="C325" s="89"/>
      <c r="D325" s="80"/>
    </row>
    <row r="326" spans="3:4" ht="13">
      <c r="C326" s="89"/>
      <c r="D326" s="80"/>
    </row>
    <row r="327" spans="3:4" ht="13">
      <c r="C327" s="89"/>
      <c r="D327" s="80"/>
    </row>
    <row r="328" spans="3:4" ht="13">
      <c r="C328" s="89"/>
      <c r="D328" s="80"/>
    </row>
    <row r="329" spans="3:4" ht="13">
      <c r="C329" s="89"/>
      <c r="D329" s="80"/>
    </row>
    <row r="330" spans="3:4" ht="13">
      <c r="C330" s="89"/>
      <c r="D330" s="80"/>
    </row>
    <row r="331" spans="3:4" ht="13">
      <c r="C331" s="89"/>
      <c r="D331" s="80"/>
    </row>
    <row r="332" spans="3:4" ht="13">
      <c r="C332" s="89"/>
      <c r="D332" s="80"/>
    </row>
    <row r="333" spans="3:4" ht="13">
      <c r="C333" s="89"/>
      <c r="D333" s="80"/>
    </row>
    <row r="334" spans="3:4" ht="13">
      <c r="C334" s="89"/>
      <c r="D334" s="80"/>
    </row>
    <row r="335" spans="3:4" ht="13">
      <c r="C335" s="89"/>
      <c r="D335" s="80"/>
    </row>
    <row r="336" spans="3:4" ht="13">
      <c r="C336" s="89"/>
      <c r="D336" s="80"/>
    </row>
    <row r="337" spans="3:4" ht="13">
      <c r="C337" s="89"/>
      <c r="D337" s="80"/>
    </row>
    <row r="338" spans="3:4" ht="13">
      <c r="C338" s="89"/>
      <c r="D338" s="80"/>
    </row>
    <row r="339" spans="3:4" ht="13">
      <c r="C339" s="89"/>
      <c r="D339" s="80"/>
    </row>
    <row r="340" spans="3:4" ht="13">
      <c r="C340" s="89"/>
      <c r="D340" s="80"/>
    </row>
    <row r="341" spans="3:4" ht="13">
      <c r="C341" s="89"/>
      <c r="D341" s="80"/>
    </row>
    <row r="342" spans="3:4" ht="13">
      <c r="C342" s="89"/>
      <c r="D342" s="80"/>
    </row>
    <row r="343" spans="3:4" ht="13">
      <c r="C343" s="89"/>
      <c r="D343" s="80"/>
    </row>
    <row r="344" spans="3:4" ht="13">
      <c r="C344" s="89"/>
      <c r="D344" s="80"/>
    </row>
    <row r="345" spans="3:4" ht="13">
      <c r="C345" s="89"/>
      <c r="D345" s="80"/>
    </row>
    <row r="346" spans="3:4" ht="13">
      <c r="C346" s="89"/>
      <c r="D346" s="80"/>
    </row>
    <row r="347" spans="3:4" ht="13">
      <c r="C347" s="89"/>
      <c r="D347" s="80"/>
    </row>
    <row r="348" spans="3:4" ht="13">
      <c r="C348" s="89"/>
      <c r="D348" s="80"/>
    </row>
    <row r="349" spans="3:4" ht="13">
      <c r="C349" s="89"/>
      <c r="D349" s="80"/>
    </row>
    <row r="350" spans="3:4" ht="13">
      <c r="C350" s="89"/>
      <c r="D350" s="80"/>
    </row>
    <row r="351" spans="3:4" ht="13">
      <c r="C351" s="89"/>
      <c r="D351" s="80"/>
    </row>
    <row r="352" spans="3:4" ht="13">
      <c r="C352" s="89"/>
      <c r="D352" s="80"/>
    </row>
    <row r="353" spans="3:4" ht="13">
      <c r="C353" s="89"/>
      <c r="D353" s="80"/>
    </row>
    <row r="354" spans="3:4" ht="13">
      <c r="C354" s="89"/>
      <c r="D354" s="80"/>
    </row>
    <row r="355" spans="3:4" ht="13">
      <c r="C355" s="89"/>
      <c r="D355" s="80"/>
    </row>
    <row r="356" spans="3:4" ht="13">
      <c r="C356" s="89"/>
      <c r="D356" s="80"/>
    </row>
    <row r="357" spans="3:4" ht="13">
      <c r="C357" s="89"/>
      <c r="D357" s="80"/>
    </row>
    <row r="358" spans="3:4" ht="13">
      <c r="C358" s="89"/>
      <c r="D358" s="80"/>
    </row>
    <row r="359" spans="3:4" ht="13">
      <c r="C359" s="89"/>
      <c r="D359" s="80"/>
    </row>
    <row r="360" spans="3:4" ht="13">
      <c r="C360" s="89"/>
      <c r="D360" s="80"/>
    </row>
    <row r="361" spans="3:4" ht="13">
      <c r="C361" s="89"/>
      <c r="D361" s="80"/>
    </row>
    <row r="362" spans="3:4" ht="13">
      <c r="C362" s="89"/>
      <c r="D362" s="80"/>
    </row>
    <row r="363" spans="3:4" ht="13">
      <c r="C363" s="89"/>
      <c r="D363" s="80"/>
    </row>
    <row r="364" spans="3:4" ht="13">
      <c r="C364" s="89"/>
      <c r="D364" s="80"/>
    </row>
    <row r="365" spans="3:4" ht="13">
      <c r="C365" s="89"/>
      <c r="D365" s="80"/>
    </row>
    <row r="366" spans="3:4" ht="13">
      <c r="C366" s="89"/>
      <c r="D366" s="80"/>
    </row>
    <row r="367" spans="3:4" ht="13">
      <c r="C367" s="89"/>
      <c r="D367" s="80"/>
    </row>
    <row r="368" spans="3:4" ht="13">
      <c r="C368" s="89"/>
      <c r="D368" s="80"/>
    </row>
    <row r="369" spans="3:4" ht="13">
      <c r="C369" s="89"/>
      <c r="D369" s="80"/>
    </row>
    <row r="370" spans="3:4" ht="13">
      <c r="C370" s="89"/>
      <c r="D370" s="80"/>
    </row>
    <row r="371" spans="3:4" ht="13">
      <c r="C371" s="89"/>
      <c r="D371" s="80"/>
    </row>
    <row r="372" spans="3:4" ht="13">
      <c r="C372" s="89"/>
      <c r="D372" s="80"/>
    </row>
    <row r="373" spans="3:4" ht="13">
      <c r="C373" s="89"/>
      <c r="D373" s="80"/>
    </row>
    <row r="374" spans="3:4" ht="13">
      <c r="C374" s="89"/>
      <c r="D374" s="80"/>
    </row>
    <row r="375" spans="3:4" ht="13">
      <c r="C375" s="89"/>
      <c r="D375" s="80"/>
    </row>
    <row r="376" spans="3:4" ht="13">
      <c r="C376" s="89"/>
      <c r="D376" s="80"/>
    </row>
    <row r="377" spans="3:4" ht="13">
      <c r="C377" s="89"/>
      <c r="D377" s="80"/>
    </row>
    <row r="378" spans="3:4" ht="13">
      <c r="C378" s="89"/>
      <c r="D378" s="80"/>
    </row>
    <row r="379" spans="3:4" ht="13">
      <c r="C379" s="89"/>
      <c r="D379" s="80"/>
    </row>
    <row r="380" spans="3:4" ht="13">
      <c r="C380" s="89"/>
      <c r="D380" s="80"/>
    </row>
    <row r="381" spans="3:4" ht="13">
      <c r="C381" s="89"/>
      <c r="D381" s="80"/>
    </row>
    <row r="382" spans="3:4" ht="13">
      <c r="C382" s="89"/>
      <c r="D382" s="80"/>
    </row>
    <row r="383" spans="3:4" ht="13">
      <c r="C383" s="89"/>
      <c r="D383" s="80"/>
    </row>
    <row r="384" spans="3:4" ht="13">
      <c r="C384" s="89"/>
      <c r="D384" s="80"/>
    </row>
    <row r="385" spans="3:4" ht="13">
      <c r="C385" s="89"/>
      <c r="D385" s="80"/>
    </row>
    <row r="386" spans="3:4" ht="13">
      <c r="C386" s="89"/>
      <c r="D386" s="80"/>
    </row>
    <row r="387" spans="3:4" ht="13">
      <c r="C387" s="89"/>
      <c r="D387" s="80"/>
    </row>
    <row r="388" spans="3:4" ht="13">
      <c r="C388" s="89"/>
      <c r="D388" s="80"/>
    </row>
    <row r="389" spans="3:4" ht="13">
      <c r="C389" s="89"/>
      <c r="D389" s="80"/>
    </row>
    <row r="390" spans="3:4" ht="13">
      <c r="C390" s="89"/>
      <c r="D390" s="80"/>
    </row>
    <row r="391" spans="3:4" ht="13">
      <c r="C391" s="89"/>
      <c r="D391" s="80"/>
    </row>
    <row r="392" spans="3:4" ht="13">
      <c r="C392" s="89"/>
      <c r="D392" s="80"/>
    </row>
    <row r="393" spans="3:4" ht="13">
      <c r="C393" s="89"/>
      <c r="D393" s="80"/>
    </row>
    <row r="394" spans="3:4" ht="13">
      <c r="C394" s="89"/>
      <c r="D394" s="80"/>
    </row>
    <row r="395" spans="3:4" ht="13">
      <c r="C395" s="89"/>
      <c r="D395" s="80"/>
    </row>
    <row r="396" spans="3:4" ht="13">
      <c r="C396" s="89"/>
      <c r="D396" s="80"/>
    </row>
    <row r="397" spans="3:4" ht="13">
      <c r="C397" s="89"/>
      <c r="D397" s="80"/>
    </row>
    <row r="398" spans="3:4" ht="13">
      <c r="C398" s="89"/>
      <c r="D398" s="80"/>
    </row>
    <row r="399" spans="3:4" ht="13">
      <c r="C399" s="89"/>
      <c r="D399" s="80"/>
    </row>
    <row r="400" spans="3:4" ht="13">
      <c r="C400" s="89"/>
      <c r="D400" s="80"/>
    </row>
    <row r="401" spans="3:4" ht="13">
      <c r="C401" s="89"/>
      <c r="D401" s="80"/>
    </row>
    <row r="402" spans="3:4" ht="13">
      <c r="C402" s="89"/>
      <c r="D402" s="80"/>
    </row>
    <row r="403" spans="3:4" ht="13">
      <c r="C403" s="89"/>
      <c r="D403" s="80"/>
    </row>
    <row r="404" spans="3:4" ht="13">
      <c r="C404" s="89"/>
      <c r="D404" s="80"/>
    </row>
    <row r="405" spans="3:4" ht="13">
      <c r="C405" s="89"/>
      <c r="D405" s="80"/>
    </row>
    <row r="406" spans="3:4" ht="13">
      <c r="C406" s="89"/>
      <c r="D406" s="80"/>
    </row>
    <row r="407" spans="3:4" ht="13">
      <c r="C407" s="89"/>
      <c r="D407" s="80"/>
    </row>
    <row r="408" spans="3:4" ht="13">
      <c r="C408" s="89"/>
      <c r="D408" s="80"/>
    </row>
    <row r="409" spans="3:4" ht="13">
      <c r="C409" s="89"/>
      <c r="D409" s="80"/>
    </row>
    <row r="410" spans="3:4" ht="13">
      <c r="C410" s="89"/>
      <c r="D410" s="80"/>
    </row>
    <row r="411" spans="3:4" ht="13">
      <c r="C411" s="89"/>
      <c r="D411" s="80"/>
    </row>
    <row r="412" spans="3:4" ht="13">
      <c r="C412" s="89"/>
      <c r="D412" s="80"/>
    </row>
    <row r="413" spans="3:4" ht="13">
      <c r="C413" s="89"/>
      <c r="D413" s="80"/>
    </row>
    <row r="414" spans="3:4" ht="13">
      <c r="C414" s="89"/>
      <c r="D414" s="80"/>
    </row>
    <row r="415" spans="3:4" ht="13">
      <c r="C415" s="89"/>
      <c r="D415" s="80"/>
    </row>
    <row r="416" spans="3:4" ht="13">
      <c r="C416" s="89"/>
      <c r="D416" s="80"/>
    </row>
    <row r="417" spans="3:4" ht="13">
      <c r="C417" s="89"/>
      <c r="D417" s="80"/>
    </row>
    <row r="418" spans="3:4" ht="13">
      <c r="C418" s="89"/>
      <c r="D418" s="80"/>
    </row>
    <row r="419" spans="3:4" ht="13">
      <c r="C419" s="89"/>
      <c r="D419" s="80"/>
    </row>
    <row r="420" spans="3:4" ht="13">
      <c r="C420" s="89"/>
      <c r="D420" s="80"/>
    </row>
    <row r="421" spans="3:4" ht="13">
      <c r="C421" s="89"/>
      <c r="D421" s="80"/>
    </row>
    <row r="422" spans="3:4" ht="13">
      <c r="C422" s="89"/>
      <c r="D422" s="80"/>
    </row>
    <row r="423" spans="3:4" ht="13">
      <c r="C423" s="89"/>
      <c r="D423" s="80"/>
    </row>
    <row r="424" spans="3:4" ht="13">
      <c r="C424" s="89"/>
      <c r="D424" s="80"/>
    </row>
    <row r="425" spans="3:4" ht="13">
      <c r="C425" s="89"/>
      <c r="D425" s="80"/>
    </row>
    <row r="426" spans="3:4" ht="13">
      <c r="C426" s="89"/>
      <c r="D426" s="80"/>
    </row>
    <row r="427" spans="3:4" ht="13">
      <c r="C427" s="89"/>
      <c r="D427" s="80"/>
    </row>
    <row r="428" spans="3:4" ht="13">
      <c r="C428" s="89"/>
      <c r="D428" s="80"/>
    </row>
    <row r="429" spans="3:4" ht="13">
      <c r="C429" s="89"/>
      <c r="D429" s="80"/>
    </row>
    <row r="430" spans="3:4" ht="13">
      <c r="C430" s="89"/>
      <c r="D430" s="80"/>
    </row>
    <row r="431" spans="3:4" ht="13">
      <c r="C431" s="89"/>
      <c r="D431" s="80"/>
    </row>
    <row r="432" spans="3:4" ht="13">
      <c r="C432" s="89"/>
      <c r="D432" s="80"/>
    </row>
    <row r="433" spans="3:4" ht="13">
      <c r="C433" s="89"/>
      <c r="D433" s="80"/>
    </row>
    <row r="434" spans="3:4" ht="13">
      <c r="C434" s="89"/>
      <c r="D434" s="80"/>
    </row>
    <row r="435" spans="3:4" ht="13">
      <c r="C435" s="89"/>
      <c r="D435" s="80"/>
    </row>
    <row r="436" spans="3:4" ht="13">
      <c r="C436" s="89"/>
      <c r="D436" s="80"/>
    </row>
    <row r="437" spans="3:4" ht="13">
      <c r="C437" s="89"/>
      <c r="D437" s="80"/>
    </row>
    <row r="438" spans="3:4" ht="13">
      <c r="C438" s="89"/>
      <c r="D438" s="80"/>
    </row>
    <row r="439" spans="3:4" ht="13">
      <c r="C439" s="89"/>
      <c r="D439" s="80"/>
    </row>
    <row r="440" spans="3:4" ht="13">
      <c r="C440" s="89"/>
      <c r="D440" s="80"/>
    </row>
    <row r="441" spans="3:4" ht="13">
      <c r="C441" s="89"/>
      <c r="D441" s="80"/>
    </row>
    <row r="442" spans="3:4" ht="13">
      <c r="C442" s="89"/>
      <c r="D442" s="80"/>
    </row>
    <row r="443" spans="3:4" ht="13">
      <c r="C443" s="89"/>
      <c r="D443" s="80"/>
    </row>
    <row r="444" spans="3:4" ht="13">
      <c r="C444" s="89"/>
      <c r="D444" s="80"/>
    </row>
    <row r="445" spans="3:4" ht="13">
      <c r="C445" s="89"/>
      <c r="D445" s="80"/>
    </row>
    <row r="446" spans="3:4" ht="13">
      <c r="C446" s="89"/>
      <c r="D446" s="80"/>
    </row>
    <row r="447" spans="3:4" ht="13">
      <c r="C447" s="89"/>
      <c r="D447" s="80"/>
    </row>
    <row r="448" spans="3:4" ht="13">
      <c r="C448" s="89"/>
      <c r="D448" s="80"/>
    </row>
    <row r="449" spans="3:4" ht="13">
      <c r="C449" s="89"/>
      <c r="D449" s="80"/>
    </row>
    <row r="450" spans="3:4" ht="13">
      <c r="C450" s="89"/>
      <c r="D450" s="80"/>
    </row>
    <row r="451" spans="3:4" ht="13">
      <c r="C451" s="89"/>
      <c r="D451" s="80"/>
    </row>
    <row r="452" spans="3:4" ht="13">
      <c r="C452" s="89"/>
      <c r="D452" s="80"/>
    </row>
    <row r="453" spans="3:4" ht="13">
      <c r="C453" s="89"/>
      <c r="D453" s="80"/>
    </row>
    <row r="454" spans="3:4" ht="13">
      <c r="C454" s="89"/>
      <c r="D454" s="80"/>
    </row>
    <row r="455" spans="3:4" ht="13">
      <c r="C455" s="89"/>
      <c r="D455" s="80"/>
    </row>
    <row r="456" spans="3:4" ht="13">
      <c r="C456" s="89"/>
      <c r="D456" s="80"/>
    </row>
    <row r="457" spans="3:4" ht="13">
      <c r="C457" s="89"/>
      <c r="D457" s="80"/>
    </row>
    <row r="458" spans="3:4" ht="13">
      <c r="C458" s="89"/>
      <c r="D458" s="80"/>
    </row>
    <row r="459" spans="3:4" ht="13">
      <c r="C459" s="89"/>
      <c r="D459" s="80"/>
    </row>
    <row r="460" spans="3:4" ht="13">
      <c r="C460" s="89"/>
      <c r="D460" s="80"/>
    </row>
    <row r="461" spans="3:4" ht="13">
      <c r="C461" s="89"/>
      <c r="D461" s="80"/>
    </row>
    <row r="462" spans="3:4" ht="13">
      <c r="C462" s="89"/>
      <c r="D462" s="80"/>
    </row>
    <row r="463" spans="3:4" ht="13">
      <c r="C463" s="89"/>
      <c r="D463" s="80"/>
    </row>
    <row r="464" spans="3:4" ht="13">
      <c r="C464" s="89"/>
      <c r="D464" s="80"/>
    </row>
    <row r="465" spans="3:4" ht="13">
      <c r="C465" s="89"/>
      <c r="D465" s="80"/>
    </row>
    <row r="466" spans="3:4" ht="13">
      <c r="C466" s="89"/>
      <c r="D466" s="80"/>
    </row>
    <row r="467" spans="3:4" ht="13">
      <c r="C467" s="89"/>
      <c r="D467" s="80"/>
    </row>
    <row r="468" spans="3:4" ht="13">
      <c r="C468" s="89"/>
      <c r="D468" s="80"/>
    </row>
    <row r="469" spans="3:4" ht="13">
      <c r="C469" s="89"/>
      <c r="D469" s="80"/>
    </row>
    <row r="470" spans="3:4" ht="13">
      <c r="C470" s="89"/>
      <c r="D470" s="80"/>
    </row>
    <row r="471" spans="3:4" ht="13">
      <c r="C471" s="89"/>
      <c r="D471" s="80"/>
    </row>
    <row r="472" spans="3:4" ht="13">
      <c r="C472" s="89"/>
      <c r="D472" s="80"/>
    </row>
    <row r="473" spans="3:4" ht="13">
      <c r="C473" s="89"/>
      <c r="D473" s="80"/>
    </row>
    <row r="474" spans="3:4" ht="13">
      <c r="C474" s="89"/>
      <c r="D474" s="80"/>
    </row>
    <row r="475" spans="3:4" ht="13">
      <c r="C475" s="89"/>
      <c r="D475" s="80"/>
    </row>
    <row r="476" spans="3:4" ht="13">
      <c r="C476" s="89"/>
      <c r="D476" s="80"/>
    </row>
    <row r="477" spans="3:4" ht="13">
      <c r="C477" s="89"/>
      <c r="D477" s="80"/>
    </row>
    <row r="478" spans="3:4" ht="13">
      <c r="C478" s="89"/>
      <c r="D478" s="80"/>
    </row>
    <row r="479" spans="3:4" ht="13">
      <c r="C479" s="89"/>
      <c r="D479" s="80"/>
    </row>
    <row r="480" spans="3:4" ht="13">
      <c r="C480" s="89"/>
      <c r="D480" s="80"/>
    </row>
    <row r="481" spans="3:4" ht="13">
      <c r="C481" s="89"/>
      <c r="D481" s="80"/>
    </row>
    <row r="482" spans="3:4" ht="13">
      <c r="C482" s="89"/>
      <c r="D482" s="80"/>
    </row>
    <row r="483" spans="3:4" ht="13">
      <c r="C483" s="89"/>
      <c r="D483" s="80"/>
    </row>
    <row r="484" spans="3:4" ht="13">
      <c r="C484" s="89"/>
      <c r="D484" s="80"/>
    </row>
    <row r="485" spans="3:4" ht="13">
      <c r="C485" s="89"/>
      <c r="D485" s="80"/>
    </row>
    <row r="486" spans="3:4" ht="13">
      <c r="C486" s="89"/>
      <c r="D486" s="80"/>
    </row>
    <row r="487" spans="3:4" ht="13">
      <c r="C487" s="89"/>
      <c r="D487" s="80"/>
    </row>
    <row r="488" spans="3:4" ht="13">
      <c r="C488" s="89"/>
      <c r="D488" s="80"/>
    </row>
    <row r="489" spans="3:4" ht="13">
      <c r="C489" s="89"/>
      <c r="D489" s="80"/>
    </row>
    <row r="490" spans="3:4" ht="13">
      <c r="C490" s="89"/>
      <c r="D490" s="80"/>
    </row>
    <row r="491" spans="3:4" ht="13">
      <c r="C491" s="89"/>
      <c r="D491" s="80"/>
    </row>
    <row r="492" spans="3:4" ht="13">
      <c r="C492" s="89"/>
      <c r="D492" s="80"/>
    </row>
    <row r="493" spans="3:4" ht="13">
      <c r="C493" s="89"/>
      <c r="D493" s="80"/>
    </row>
    <row r="494" spans="3:4" ht="13">
      <c r="C494" s="89"/>
      <c r="D494" s="80"/>
    </row>
    <row r="495" spans="3:4" ht="13">
      <c r="C495" s="89"/>
      <c r="D495" s="80"/>
    </row>
    <row r="496" spans="3:4" ht="13">
      <c r="C496" s="89"/>
      <c r="D496" s="80"/>
    </row>
    <row r="497" spans="3:4" ht="13">
      <c r="C497" s="89"/>
      <c r="D497" s="80"/>
    </row>
    <row r="498" spans="3:4" ht="13">
      <c r="C498" s="89"/>
      <c r="D498" s="80"/>
    </row>
    <row r="499" spans="3:4" ht="13">
      <c r="C499" s="89"/>
      <c r="D499" s="80"/>
    </row>
    <row r="500" spans="3:4" ht="13">
      <c r="C500" s="89"/>
      <c r="D500" s="80"/>
    </row>
    <row r="501" spans="3:4" ht="13">
      <c r="C501" s="89"/>
      <c r="D501" s="80"/>
    </row>
    <row r="502" spans="3:4" ht="13">
      <c r="C502" s="89"/>
      <c r="D502" s="80"/>
    </row>
    <row r="503" spans="3:4" ht="13">
      <c r="C503" s="89"/>
      <c r="D503" s="80"/>
    </row>
    <row r="504" spans="3:4" ht="13">
      <c r="C504" s="89"/>
      <c r="D504" s="80"/>
    </row>
    <row r="505" spans="3:4" ht="13">
      <c r="C505" s="89"/>
      <c r="D505" s="80"/>
    </row>
    <row r="506" spans="3:4" ht="13">
      <c r="C506" s="89"/>
      <c r="D506" s="80"/>
    </row>
    <row r="507" spans="3:4" ht="13">
      <c r="C507" s="89"/>
      <c r="D507" s="80"/>
    </row>
    <row r="508" spans="3:4" ht="13">
      <c r="C508" s="89"/>
      <c r="D508" s="80"/>
    </row>
    <row r="509" spans="3:4" ht="13">
      <c r="C509" s="89"/>
      <c r="D509" s="80"/>
    </row>
    <row r="510" spans="3:4" ht="13">
      <c r="C510" s="89"/>
      <c r="D510" s="80"/>
    </row>
    <row r="511" spans="3:4" ht="13">
      <c r="C511" s="89"/>
      <c r="D511" s="80"/>
    </row>
    <row r="512" spans="3:4" ht="13">
      <c r="C512" s="89"/>
      <c r="D512" s="80"/>
    </row>
    <row r="513" spans="3:4" ht="13">
      <c r="C513" s="89"/>
      <c r="D513" s="80"/>
    </row>
    <row r="514" spans="3:4" ht="13">
      <c r="C514" s="89"/>
      <c r="D514" s="80"/>
    </row>
    <row r="515" spans="3:4" ht="13">
      <c r="C515" s="89"/>
      <c r="D515" s="80"/>
    </row>
    <row r="516" spans="3:4" ht="13">
      <c r="C516" s="89"/>
      <c r="D516" s="80"/>
    </row>
    <row r="517" spans="3:4" ht="13">
      <c r="C517" s="89"/>
      <c r="D517" s="80"/>
    </row>
    <row r="518" spans="3:4" ht="13">
      <c r="C518" s="89"/>
      <c r="D518" s="80"/>
    </row>
    <row r="519" spans="3:4" ht="13">
      <c r="C519" s="89"/>
      <c r="D519" s="80"/>
    </row>
    <row r="520" spans="3:4" ht="13">
      <c r="C520" s="89"/>
      <c r="D520" s="80"/>
    </row>
    <row r="521" spans="3:4" ht="13">
      <c r="C521" s="89"/>
      <c r="D521" s="80"/>
    </row>
    <row r="522" spans="3:4" ht="13">
      <c r="C522" s="89"/>
      <c r="D522" s="80"/>
    </row>
    <row r="523" spans="3:4" ht="13">
      <c r="C523" s="89"/>
      <c r="D523" s="80"/>
    </row>
    <row r="524" spans="3:4" ht="13">
      <c r="C524" s="89"/>
      <c r="D524" s="80"/>
    </row>
    <row r="525" spans="3:4" ht="13">
      <c r="C525" s="89"/>
      <c r="D525" s="80"/>
    </row>
    <row r="526" spans="3:4" ht="13">
      <c r="C526" s="89"/>
      <c r="D526" s="80"/>
    </row>
    <row r="527" spans="3:4" ht="13">
      <c r="C527" s="89"/>
      <c r="D527" s="80"/>
    </row>
    <row r="528" spans="3:4" ht="13">
      <c r="C528" s="89"/>
      <c r="D528" s="80"/>
    </row>
    <row r="529" spans="3:4" ht="13">
      <c r="C529" s="89"/>
      <c r="D529" s="80"/>
    </row>
    <row r="530" spans="3:4" ht="13">
      <c r="C530" s="89"/>
      <c r="D530" s="80"/>
    </row>
    <row r="531" spans="3:4" ht="13">
      <c r="C531" s="89"/>
      <c r="D531" s="80"/>
    </row>
    <row r="532" spans="3:4" ht="13">
      <c r="C532" s="89"/>
      <c r="D532" s="80"/>
    </row>
    <row r="533" spans="3:4" ht="13">
      <c r="C533" s="89"/>
      <c r="D533" s="80"/>
    </row>
    <row r="534" spans="3:4" ht="13">
      <c r="C534" s="89"/>
      <c r="D534" s="80"/>
    </row>
    <row r="535" spans="3:4" ht="13">
      <c r="C535" s="89"/>
      <c r="D535" s="80"/>
    </row>
    <row r="536" spans="3:4" ht="13">
      <c r="C536" s="89"/>
      <c r="D536" s="80"/>
    </row>
    <row r="537" spans="3:4" ht="13">
      <c r="C537" s="89"/>
      <c r="D537" s="80"/>
    </row>
    <row r="538" spans="3:4" ht="13">
      <c r="C538" s="89"/>
      <c r="D538" s="80"/>
    </row>
    <row r="539" spans="3:4" ht="13">
      <c r="C539" s="89"/>
      <c r="D539" s="80"/>
    </row>
    <row r="540" spans="3:4" ht="13">
      <c r="C540" s="89"/>
      <c r="D540" s="80"/>
    </row>
    <row r="541" spans="3:4" ht="13">
      <c r="C541" s="89"/>
      <c r="D541" s="80"/>
    </row>
    <row r="542" spans="3:4" ht="13">
      <c r="C542" s="89"/>
      <c r="D542" s="80"/>
    </row>
    <row r="543" spans="3:4" ht="13">
      <c r="C543" s="89"/>
      <c r="D543" s="80"/>
    </row>
    <row r="544" spans="3:4" ht="13">
      <c r="C544" s="89"/>
      <c r="D544" s="80"/>
    </row>
    <row r="545" spans="3:4" ht="13">
      <c r="C545" s="89"/>
      <c r="D545" s="80"/>
    </row>
    <row r="546" spans="3:4" ht="13">
      <c r="C546" s="89"/>
      <c r="D546" s="80"/>
    </row>
    <row r="547" spans="3:4" ht="13">
      <c r="C547" s="89"/>
      <c r="D547" s="80"/>
    </row>
    <row r="548" spans="3:4" ht="13">
      <c r="C548" s="89"/>
      <c r="D548" s="80"/>
    </row>
    <row r="549" spans="3:4" ht="13">
      <c r="C549" s="89"/>
      <c r="D549" s="80"/>
    </row>
    <row r="550" spans="3:4" ht="13">
      <c r="C550" s="89"/>
      <c r="D550" s="80"/>
    </row>
    <row r="551" spans="3:4" ht="13">
      <c r="C551" s="89"/>
      <c r="D551" s="80"/>
    </row>
    <row r="552" spans="3:4" ht="13">
      <c r="C552" s="89"/>
      <c r="D552" s="80"/>
    </row>
    <row r="553" spans="3:4" ht="13">
      <c r="C553" s="89"/>
      <c r="D553" s="80"/>
    </row>
    <row r="554" spans="3:4" ht="13">
      <c r="C554" s="89"/>
      <c r="D554" s="80"/>
    </row>
    <row r="555" spans="3:4" ht="13">
      <c r="C555" s="89"/>
      <c r="D555" s="80"/>
    </row>
    <row r="556" spans="3:4" ht="13">
      <c r="C556" s="89"/>
      <c r="D556" s="80"/>
    </row>
    <row r="557" spans="3:4" ht="13">
      <c r="C557" s="89"/>
      <c r="D557" s="80"/>
    </row>
    <row r="558" spans="3:4" ht="13">
      <c r="C558" s="89"/>
      <c r="D558" s="80"/>
    </row>
    <row r="559" spans="3:4" ht="13">
      <c r="C559" s="89"/>
      <c r="D559" s="80"/>
    </row>
    <row r="560" spans="3:4" ht="13">
      <c r="C560" s="89"/>
      <c r="D560" s="80"/>
    </row>
    <row r="561" spans="3:4" ht="13">
      <c r="C561" s="89"/>
      <c r="D561" s="80"/>
    </row>
    <row r="562" spans="3:4" ht="13">
      <c r="C562" s="89"/>
      <c r="D562" s="80"/>
    </row>
    <row r="563" spans="3:4" ht="13">
      <c r="C563" s="89"/>
      <c r="D563" s="80"/>
    </row>
    <row r="564" spans="3:4" ht="13">
      <c r="C564" s="89"/>
      <c r="D564" s="80"/>
    </row>
    <row r="565" spans="3:4" ht="13">
      <c r="C565" s="89"/>
      <c r="D565" s="80"/>
    </row>
    <row r="566" spans="3:4" ht="13">
      <c r="C566" s="89"/>
      <c r="D566" s="80"/>
    </row>
    <row r="567" spans="3:4" ht="13">
      <c r="C567" s="89"/>
      <c r="D567" s="80"/>
    </row>
    <row r="568" spans="3:4" ht="13">
      <c r="C568" s="89"/>
      <c r="D568" s="80"/>
    </row>
    <row r="569" spans="3:4" ht="13">
      <c r="C569" s="89"/>
      <c r="D569" s="80"/>
    </row>
    <row r="570" spans="3:4" ht="13">
      <c r="C570" s="89"/>
      <c r="D570" s="80"/>
    </row>
    <row r="571" spans="3:4" ht="13">
      <c r="C571" s="89"/>
      <c r="D571" s="80"/>
    </row>
    <row r="572" spans="3:4" ht="13">
      <c r="C572" s="89"/>
      <c r="D572" s="80"/>
    </row>
    <row r="573" spans="3:4" ht="13">
      <c r="C573" s="89"/>
      <c r="D573" s="80"/>
    </row>
    <row r="574" spans="3:4" ht="13">
      <c r="C574" s="89"/>
      <c r="D574" s="80"/>
    </row>
    <row r="575" spans="3:4" ht="13">
      <c r="C575" s="89"/>
      <c r="D575" s="80"/>
    </row>
    <row r="576" spans="3:4" ht="13">
      <c r="C576" s="89"/>
      <c r="D576" s="80"/>
    </row>
    <row r="577" spans="3:4" ht="13">
      <c r="C577" s="89"/>
      <c r="D577" s="80"/>
    </row>
    <row r="578" spans="3:4" ht="13">
      <c r="C578" s="89"/>
      <c r="D578" s="80"/>
    </row>
    <row r="579" spans="3:4" ht="13">
      <c r="C579" s="89"/>
      <c r="D579" s="80"/>
    </row>
    <row r="580" spans="3:4" ht="13">
      <c r="C580" s="89"/>
      <c r="D580" s="80"/>
    </row>
    <row r="581" spans="3:4" ht="13">
      <c r="C581" s="89"/>
      <c r="D581" s="80"/>
    </row>
    <row r="582" spans="3:4" ht="13">
      <c r="C582" s="89"/>
      <c r="D582" s="80"/>
    </row>
    <row r="583" spans="3:4" ht="13">
      <c r="C583" s="89"/>
      <c r="D583" s="80"/>
    </row>
    <row r="584" spans="3:4" ht="13">
      <c r="C584" s="89"/>
      <c r="D584" s="80"/>
    </row>
    <row r="585" spans="3:4" ht="13">
      <c r="C585" s="89"/>
      <c r="D585" s="80"/>
    </row>
    <row r="586" spans="3:4" ht="13">
      <c r="C586" s="89"/>
      <c r="D586" s="80"/>
    </row>
    <row r="587" spans="3:4" ht="13">
      <c r="C587" s="89"/>
      <c r="D587" s="80"/>
    </row>
    <row r="588" spans="3:4" ht="13">
      <c r="C588" s="89"/>
      <c r="D588" s="80"/>
    </row>
    <row r="589" spans="3:4" ht="13">
      <c r="C589" s="89"/>
      <c r="D589" s="80"/>
    </row>
    <row r="590" spans="3:4" ht="13">
      <c r="C590" s="89"/>
      <c r="D590" s="80"/>
    </row>
    <row r="591" spans="3:4" ht="13">
      <c r="C591" s="89"/>
      <c r="D591" s="80"/>
    </row>
    <row r="592" spans="3:4" ht="13">
      <c r="C592" s="89"/>
      <c r="D592" s="80"/>
    </row>
    <row r="593" spans="3:4" ht="13">
      <c r="C593" s="89"/>
      <c r="D593" s="80"/>
    </row>
    <row r="594" spans="3:4" ht="13">
      <c r="C594" s="89"/>
      <c r="D594" s="80"/>
    </row>
    <row r="595" spans="3:4" ht="13">
      <c r="C595" s="89"/>
      <c r="D595" s="80"/>
    </row>
    <row r="596" spans="3:4" ht="13">
      <c r="C596" s="89"/>
      <c r="D596" s="80"/>
    </row>
    <row r="597" spans="3:4" ht="13">
      <c r="C597" s="89"/>
      <c r="D597" s="80"/>
    </row>
    <row r="598" spans="3:4" ht="13">
      <c r="C598" s="89"/>
      <c r="D598" s="80"/>
    </row>
    <row r="599" spans="3:4" ht="13">
      <c r="C599" s="89"/>
      <c r="D599" s="80"/>
    </row>
    <row r="600" spans="3:4" ht="13">
      <c r="C600" s="89"/>
      <c r="D600" s="80"/>
    </row>
    <row r="601" spans="3:4" ht="13">
      <c r="C601" s="89"/>
      <c r="D601" s="80"/>
    </row>
    <row r="602" spans="3:4" ht="13">
      <c r="C602" s="89"/>
      <c r="D602" s="80"/>
    </row>
    <row r="603" spans="3:4" ht="13">
      <c r="C603" s="89"/>
      <c r="D603" s="80"/>
    </row>
    <row r="604" spans="3:4" ht="13">
      <c r="C604" s="89"/>
      <c r="D604" s="80"/>
    </row>
    <row r="605" spans="3:4" ht="13">
      <c r="C605" s="89"/>
      <c r="D605" s="80"/>
    </row>
    <row r="606" spans="3:4" ht="13">
      <c r="C606" s="89"/>
      <c r="D606" s="80"/>
    </row>
    <row r="607" spans="3:4" ht="13">
      <c r="C607" s="89"/>
      <c r="D607" s="80"/>
    </row>
    <row r="608" spans="3:4" ht="13">
      <c r="C608" s="89"/>
      <c r="D608" s="80"/>
    </row>
    <row r="609" spans="3:4" ht="13">
      <c r="C609" s="89"/>
      <c r="D609" s="80"/>
    </row>
    <row r="610" spans="3:4" ht="13">
      <c r="C610" s="89"/>
      <c r="D610" s="80"/>
    </row>
    <row r="611" spans="3:4" ht="13">
      <c r="C611" s="89"/>
      <c r="D611" s="80"/>
    </row>
    <row r="612" spans="3:4" ht="13">
      <c r="C612" s="89"/>
      <c r="D612" s="80"/>
    </row>
    <row r="613" spans="3:4" ht="13">
      <c r="C613" s="89"/>
      <c r="D613" s="80"/>
    </row>
    <row r="614" spans="3:4" ht="13">
      <c r="C614" s="89"/>
      <c r="D614" s="80"/>
    </row>
    <row r="615" spans="3:4" ht="13">
      <c r="C615" s="89"/>
      <c r="D615" s="80"/>
    </row>
    <row r="616" spans="3:4" ht="13">
      <c r="C616" s="89"/>
      <c r="D616" s="80"/>
    </row>
    <row r="617" spans="3:4" ht="13">
      <c r="C617" s="89"/>
      <c r="D617" s="80"/>
    </row>
    <row r="618" spans="3:4" ht="13">
      <c r="C618" s="89"/>
      <c r="D618" s="80"/>
    </row>
    <row r="619" spans="3:4" ht="13">
      <c r="C619" s="89"/>
      <c r="D619" s="80"/>
    </row>
    <row r="620" spans="3:4" ht="13">
      <c r="C620" s="89"/>
      <c r="D620" s="80"/>
    </row>
    <row r="621" spans="3:4" ht="13">
      <c r="C621" s="89"/>
      <c r="D621" s="80"/>
    </row>
    <row r="622" spans="3:4" ht="13">
      <c r="C622" s="89"/>
      <c r="D622" s="80"/>
    </row>
    <row r="623" spans="3:4" ht="13">
      <c r="C623" s="89"/>
      <c r="D623" s="80"/>
    </row>
    <row r="624" spans="3:4" ht="13">
      <c r="C624" s="89"/>
      <c r="D624" s="80"/>
    </row>
    <row r="625" spans="3:4" ht="13">
      <c r="C625" s="89"/>
      <c r="D625" s="80"/>
    </row>
    <row r="626" spans="3:4" ht="13">
      <c r="C626" s="89"/>
      <c r="D626" s="80"/>
    </row>
    <row r="627" spans="3:4" ht="13">
      <c r="C627" s="89"/>
      <c r="D627" s="80"/>
    </row>
    <row r="628" spans="3:4" ht="13">
      <c r="C628" s="89"/>
      <c r="D628" s="80"/>
    </row>
    <row r="629" spans="3:4" ht="13">
      <c r="C629" s="89"/>
      <c r="D629" s="80"/>
    </row>
    <row r="630" spans="3:4" ht="13">
      <c r="C630" s="89"/>
      <c r="D630" s="80"/>
    </row>
    <row r="631" spans="3:4" ht="13">
      <c r="C631" s="89"/>
      <c r="D631" s="80"/>
    </row>
    <row r="632" spans="3:4" ht="13">
      <c r="C632" s="89"/>
      <c r="D632" s="80"/>
    </row>
    <row r="633" spans="3:4" ht="13">
      <c r="C633" s="89"/>
      <c r="D633" s="80"/>
    </row>
    <row r="634" spans="3:4" ht="13">
      <c r="C634" s="89"/>
      <c r="D634" s="80"/>
    </row>
    <row r="635" spans="3:4" ht="13">
      <c r="C635" s="89"/>
      <c r="D635" s="80"/>
    </row>
    <row r="636" spans="3:4" ht="13">
      <c r="C636" s="89"/>
      <c r="D636" s="80"/>
    </row>
    <row r="637" spans="3:4" ht="13">
      <c r="C637" s="89"/>
      <c r="D637" s="80"/>
    </row>
    <row r="638" spans="3:4" ht="13">
      <c r="C638" s="89"/>
      <c r="D638" s="80"/>
    </row>
    <row r="639" spans="3:4" ht="13">
      <c r="C639" s="89"/>
      <c r="D639" s="80"/>
    </row>
    <row r="640" spans="3:4" ht="13">
      <c r="C640" s="89"/>
      <c r="D640" s="80"/>
    </row>
    <row r="641" spans="3:4" ht="13">
      <c r="C641" s="89"/>
      <c r="D641" s="80"/>
    </row>
    <row r="642" spans="3:4" ht="13">
      <c r="C642" s="89"/>
      <c r="D642" s="80"/>
    </row>
    <row r="643" spans="3:4" ht="13">
      <c r="C643" s="89"/>
      <c r="D643" s="80"/>
    </row>
    <row r="644" spans="3:4" ht="13">
      <c r="C644" s="89"/>
      <c r="D644" s="80"/>
    </row>
    <row r="645" spans="3:4" ht="13">
      <c r="C645" s="89"/>
      <c r="D645" s="80"/>
    </row>
    <row r="646" spans="3:4" ht="13">
      <c r="C646" s="89"/>
      <c r="D646" s="80"/>
    </row>
    <row r="647" spans="3:4" ht="13">
      <c r="C647" s="89"/>
      <c r="D647" s="80"/>
    </row>
    <row r="648" spans="3:4" ht="13">
      <c r="C648" s="89"/>
      <c r="D648" s="80"/>
    </row>
    <row r="649" spans="3:4" ht="13">
      <c r="C649" s="89"/>
      <c r="D649" s="80"/>
    </row>
    <row r="650" spans="3:4" ht="13">
      <c r="C650" s="89"/>
      <c r="D650" s="80"/>
    </row>
    <row r="651" spans="3:4" ht="13">
      <c r="C651" s="89"/>
      <c r="D651" s="80"/>
    </row>
    <row r="652" spans="3:4" ht="13">
      <c r="C652" s="89"/>
      <c r="D652" s="80"/>
    </row>
    <row r="653" spans="3:4" ht="13">
      <c r="C653" s="89"/>
      <c r="D653" s="80"/>
    </row>
    <row r="654" spans="3:4" ht="13">
      <c r="C654" s="89"/>
      <c r="D654" s="80"/>
    </row>
    <row r="655" spans="3:4" ht="13">
      <c r="C655" s="89"/>
      <c r="D655" s="80"/>
    </row>
    <row r="656" spans="3:4" ht="13">
      <c r="C656" s="89"/>
      <c r="D656" s="80"/>
    </row>
    <row r="657" spans="3:4" ht="13">
      <c r="C657" s="89"/>
      <c r="D657" s="80"/>
    </row>
    <row r="658" spans="3:4" ht="13">
      <c r="C658" s="89"/>
      <c r="D658" s="80"/>
    </row>
    <row r="659" spans="3:4" ht="13">
      <c r="C659" s="89"/>
      <c r="D659" s="80"/>
    </row>
    <row r="660" spans="3:4" ht="13">
      <c r="C660" s="89"/>
      <c r="D660" s="80"/>
    </row>
    <row r="661" spans="3:4" ht="13">
      <c r="C661" s="89"/>
      <c r="D661" s="80"/>
    </row>
    <row r="662" spans="3:4" ht="13">
      <c r="C662" s="89"/>
      <c r="D662" s="80"/>
    </row>
    <row r="663" spans="3:4" ht="13">
      <c r="C663" s="89"/>
      <c r="D663" s="80"/>
    </row>
    <row r="664" spans="3:4" ht="13">
      <c r="C664" s="89"/>
      <c r="D664" s="80"/>
    </row>
    <row r="665" spans="3:4" ht="13">
      <c r="C665" s="89"/>
      <c r="D665" s="80"/>
    </row>
    <row r="666" spans="3:4" ht="13">
      <c r="C666" s="89"/>
      <c r="D666" s="80"/>
    </row>
    <row r="667" spans="3:4" ht="13">
      <c r="C667" s="89"/>
      <c r="D667" s="80"/>
    </row>
    <row r="668" spans="3:4" ht="13">
      <c r="C668" s="89"/>
      <c r="D668" s="80"/>
    </row>
    <row r="669" spans="3:4" ht="13">
      <c r="C669" s="89"/>
      <c r="D669" s="80"/>
    </row>
    <row r="670" spans="3:4" ht="13">
      <c r="C670" s="89"/>
      <c r="D670" s="80"/>
    </row>
    <row r="671" spans="3:4" ht="13">
      <c r="C671" s="89"/>
      <c r="D671" s="80"/>
    </row>
    <row r="672" spans="3:4" ht="13">
      <c r="C672" s="89"/>
      <c r="D672" s="80"/>
    </row>
    <row r="673" spans="3:4" ht="13">
      <c r="C673" s="89"/>
      <c r="D673" s="80"/>
    </row>
    <row r="674" spans="3:4" ht="13">
      <c r="C674" s="89"/>
      <c r="D674" s="80"/>
    </row>
    <row r="675" spans="3:4" ht="13">
      <c r="C675" s="89"/>
      <c r="D675" s="80"/>
    </row>
    <row r="676" spans="3:4" ht="13">
      <c r="C676" s="89"/>
      <c r="D676" s="80"/>
    </row>
    <row r="677" spans="3:4" ht="13">
      <c r="C677" s="89"/>
      <c r="D677" s="80"/>
    </row>
    <row r="678" spans="3:4" ht="13">
      <c r="C678" s="89"/>
      <c r="D678" s="80"/>
    </row>
    <row r="679" spans="3:4" ht="13">
      <c r="C679" s="89"/>
      <c r="D679" s="80"/>
    </row>
    <row r="680" spans="3:4" ht="13">
      <c r="C680" s="89"/>
      <c r="D680" s="80"/>
    </row>
    <row r="681" spans="3:4" ht="13">
      <c r="C681" s="89"/>
      <c r="D681" s="80"/>
    </row>
    <row r="682" spans="3:4" ht="13">
      <c r="C682" s="89"/>
      <c r="D682" s="80"/>
    </row>
    <row r="683" spans="3:4" ht="13">
      <c r="C683" s="89"/>
      <c r="D683" s="80"/>
    </row>
    <row r="684" spans="3:4" ht="13">
      <c r="C684" s="89"/>
      <c r="D684" s="80"/>
    </row>
    <row r="685" spans="3:4" ht="13">
      <c r="C685" s="89"/>
      <c r="D685" s="80"/>
    </row>
    <row r="686" spans="3:4" ht="13">
      <c r="C686" s="89"/>
      <c r="D686" s="80"/>
    </row>
    <row r="687" spans="3:4" ht="13">
      <c r="C687" s="89"/>
      <c r="D687" s="80"/>
    </row>
    <row r="688" spans="3:4" ht="13">
      <c r="C688" s="89"/>
      <c r="D688" s="80"/>
    </row>
    <row r="689" spans="3:4" ht="13">
      <c r="C689" s="89"/>
      <c r="D689" s="80"/>
    </row>
    <row r="690" spans="3:4" ht="13">
      <c r="C690" s="89"/>
      <c r="D690" s="80"/>
    </row>
    <row r="691" spans="3:4" ht="13">
      <c r="C691" s="89"/>
      <c r="D691" s="80"/>
    </row>
    <row r="692" spans="3:4" ht="13">
      <c r="C692" s="89"/>
      <c r="D692" s="80"/>
    </row>
    <row r="693" spans="3:4" ht="13">
      <c r="C693" s="89"/>
      <c r="D693" s="80"/>
    </row>
    <row r="694" spans="3:4" ht="13">
      <c r="C694" s="89"/>
      <c r="D694" s="80"/>
    </row>
    <row r="695" spans="3:4" ht="13">
      <c r="C695" s="89"/>
      <c r="D695" s="80"/>
    </row>
    <row r="696" spans="3:4" ht="13">
      <c r="C696" s="89"/>
      <c r="D696" s="80"/>
    </row>
    <row r="697" spans="3:4" ht="13">
      <c r="C697" s="89"/>
      <c r="D697" s="80"/>
    </row>
    <row r="698" spans="3:4" ht="13">
      <c r="C698" s="89"/>
      <c r="D698" s="80"/>
    </row>
    <row r="699" spans="3:4" ht="13">
      <c r="C699" s="89"/>
      <c r="D699" s="80"/>
    </row>
    <row r="700" spans="3:4" ht="13">
      <c r="C700" s="89"/>
      <c r="D700" s="80"/>
    </row>
    <row r="701" spans="3:4" ht="13">
      <c r="C701" s="89"/>
      <c r="D701" s="80"/>
    </row>
    <row r="702" spans="3:4" ht="13">
      <c r="C702" s="89"/>
      <c r="D702" s="80"/>
    </row>
    <row r="703" spans="3:4" ht="13">
      <c r="C703" s="89"/>
      <c r="D703" s="80"/>
    </row>
    <row r="704" spans="3:4" ht="13">
      <c r="C704" s="89"/>
      <c r="D704" s="80"/>
    </row>
    <row r="705" spans="3:4" ht="13">
      <c r="C705" s="89"/>
      <c r="D705" s="80"/>
    </row>
    <row r="706" spans="3:4" ht="13">
      <c r="C706" s="89"/>
      <c r="D706" s="80"/>
    </row>
    <row r="707" spans="3:4" ht="13">
      <c r="C707" s="89"/>
      <c r="D707" s="80"/>
    </row>
    <row r="708" spans="3:4" ht="13">
      <c r="C708" s="89"/>
      <c r="D708" s="80"/>
    </row>
    <row r="709" spans="3:4" ht="13">
      <c r="C709" s="89"/>
      <c r="D709" s="80"/>
    </row>
    <row r="710" spans="3:4" ht="13">
      <c r="C710" s="89"/>
      <c r="D710" s="80"/>
    </row>
    <row r="711" spans="3:4" ht="13">
      <c r="C711" s="89"/>
      <c r="D711" s="80"/>
    </row>
    <row r="712" spans="3:4" ht="13">
      <c r="C712" s="89"/>
      <c r="D712" s="80"/>
    </row>
    <row r="713" spans="3:4" ht="13">
      <c r="C713" s="89"/>
      <c r="D713" s="80"/>
    </row>
    <row r="714" spans="3:4" ht="13">
      <c r="C714" s="89"/>
      <c r="D714" s="80"/>
    </row>
    <row r="715" spans="3:4" ht="13">
      <c r="C715" s="89"/>
      <c r="D715" s="80"/>
    </row>
    <row r="716" spans="3:4" ht="13">
      <c r="C716" s="89"/>
      <c r="D716" s="80"/>
    </row>
    <row r="717" spans="3:4" ht="13">
      <c r="C717" s="89"/>
      <c r="D717" s="80"/>
    </row>
    <row r="718" spans="3:4" ht="13">
      <c r="C718" s="89"/>
      <c r="D718" s="80"/>
    </row>
    <row r="719" spans="3:4" ht="13">
      <c r="C719" s="89"/>
      <c r="D719" s="80"/>
    </row>
    <row r="720" spans="3:4" ht="13">
      <c r="C720" s="89"/>
      <c r="D720" s="80"/>
    </row>
    <row r="721" spans="3:4" ht="13">
      <c r="C721" s="89"/>
      <c r="D721" s="80"/>
    </row>
    <row r="722" spans="3:4" ht="13">
      <c r="C722" s="89"/>
      <c r="D722" s="80"/>
    </row>
    <row r="723" spans="3:4" ht="13">
      <c r="C723" s="89"/>
      <c r="D723" s="80"/>
    </row>
    <row r="724" spans="3:4" ht="13">
      <c r="C724" s="89"/>
      <c r="D724" s="80"/>
    </row>
    <row r="725" spans="3:4" ht="13">
      <c r="C725" s="89"/>
      <c r="D725" s="80"/>
    </row>
    <row r="726" spans="3:4" ht="13">
      <c r="C726" s="89"/>
      <c r="D726" s="80"/>
    </row>
    <row r="727" spans="3:4" ht="13">
      <c r="C727" s="89"/>
      <c r="D727" s="80"/>
    </row>
    <row r="728" spans="3:4" ht="13">
      <c r="C728" s="89"/>
      <c r="D728" s="80"/>
    </row>
    <row r="729" spans="3:4" ht="13">
      <c r="C729" s="89"/>
      <c r="D729" s="80"/>
    </row>
    <row r="730" spans="3:4" ht="13">
      <c r="C730" s="89"/>
      <c r="D730" s="80"/>
    </row>
    <row r="731" spans="3:4" ht="13">
      <c r="C731" s="89"/>
      <c r="D731" s="80"/>
    </row>
    <row r="732" spans="3:4" ht="13">
      <c r="C732" s="89"/>
      <c r="D732" s="80"/>
    </row>
    <row r="733" spans="3:4" ht="13">
      <c r="C733" s="89"/>
      <c r="D733" s="80"/>
    </row>
    <row r="734" spans="3:4" ht="13">
      <c r="C734" s="89"/>
      <c r="D734" s="80"/>
    </row>
    <row r="735" spans="3:4" ht="13">
      <c r="C735" s="89"/>
      <c r="D735" s="80"/>
    </row>
    <row r="736" spans="3:4" ht="13">
      <c r="C736" s="89"/>
      <c r="D736" s="80"/>
    </row>
    <row r="737" spans="3:4" ht="13">
      <c r="C737" s="89"/>
      <c r="D737" s="80"/>
    </row>
    <row r="738" spans="3:4" ht="13">
      <c r="C738" s="89"/>
      <c r="D738" s="80"/>
    </row>
    <row r="739" spans="3:4" ht="13">
      <c r="C739" s="89"/>
      <c r="D739" s="80"/>
    </row>
    <row r="740" spans="3:4" ht="13">
      <c r="C740" s="89"/>
      <c r="D740" s="80"/>
    </row>
    <row r="741" spans="3:4" ht="13">
      <c r="C741" s="89"/>
      <c r="D741" s="80"/>
    </row>
    <row r="742" spans="3:4" ht="13">
      <c r="C742" s="89"/>
      <c r="D742" s="80"/>
    </row>
    <row r="743" spans="3:4" ht="13">
      <c r="C743" s="89"/>
      <c r="D743" s="80"/>
    </row>
    <row r="744" spans="3:4" ht="13">
      <c r="C744" s="89"/>
      <c r="D744" s="80"/>
    </row>
    <row r="745" spans="3:4" ht="13">
      <c r="C745" s="89"/>
      <c r="D745" s="80"/>
    </row>
    <row r="746" spans="3:4" ht="13">
      <c r="C746" s="89"/>
      <c r="D746" s="80"/>
    </row>
    <row r="747" spans="3:4" ht="13">
      <c r="C747" s="89"/>
      <c r="D747" s="80"/>
    </row>
    <row r="748" spans="3:4" ht="13">
      <c r="C748" s="89"/>
      <c r="D748" s="80"/>
    </row>
    <row r="749" spans="3:4" ht="13">
      <c r="C749" s="89"/>
      <c r="D749" s="80"/>
    </row>
    <row r="750" spans="3:4" ht="13">
      <c r="C750" s="89"/>
      <c r="D750" s="80"/>
    </row>
    <row r="751" spans="3:4" ht="13">
      <c r="C751" s="89"/>
      <c r="D751" s="80"/>
    </row>
    <row r="752" spans="3:4" ht="13">
      <c r="C752" s="89"/>
      <c r="D752" s="80"/>
    </row>
    <row r="753" spans="3:4" ht="13">
      <c r="C753" s="89"/>
      <c r="D753" s="80"/>
    </row>
    <row r="754" spans="3:4" ht="13">
      <c r="C754" s="89"/>
      <c r="D754" s="80"/>
    </row>
    <row r="755" spans="3:4" ht="13">
      <c r="C755" s="89"/>
      <c r="D755" s="80"/>
    </row>
    <row r="756" spans="3:4" ht="13">
      <c r="C756" s="89"/>
      <c r="D756" s="80"/>
    </row>
    <row r="757" spans="3:4" ht="13">
      <c r="C757" s="89"/>
      <c r="D757" s="80"/>
    </row>
    <row r="758" spans="3:4" ht="13">
      <c r="C758" s="89"/>
      <c r="D758" s="80"/>
    </row>
    <row r="759" spans="3:4" ht="13">
      <c r="C759" s="89"/>
      <c r="D759" s="80"/>
    </row>
    <row r="760" spans="3:4" ht="13">
      <c r="C760" s="89"/>
      <c r="D760" s="80"/>
    </row>
    <row r="761" spans="3:4" ht="13">
      <c r="C761" s="89"/>
      <c r="D761" s="80"/>
    </row>
    <row r="762" spans="3:4" ht="13">
      <c r="C762" s="89"/>
      <c r="D762" s="80"/>
    </row>
    <row r="763" spans="3:4" ht="13">
      <c r="C763" s="89"/>
      <c r="D763" s="80"/>
    </row>
    <row r="764" spans="3:4" ht="13">
      <c r="C764" s="89"/>
      <c r="D764" s="80"/>
    </row>
    <row r="765" spans="3:4" ht="13">
      <c r="C765" s="89"/>
      <c r="D765" s="80"/>
    </row>
    <row r="766" spans="3:4" ht="13">
      <c r="C766" s="89"/>
      <c r="D766" s="80"/>
    </row>
    <row r="767" spans="3:4" ht="13">
      <c r="C767" s="89"/>
      <c r="D767" s="80"/>
    </row>
    <row r="768" spans="3:4" ht="13">
      <c r="C768" s="89"/>
      <c r="D768" s="80"/>
    </row>
    <row r="769" spans="3:4" ht="13">
      <c r="C769" s="89"/>
      <c r="D769" s="80"/>
    </row>
    <row r="770" spans="3:4" ht="13">
      <c r="C770" s="89"/>
      <c r="D770" s="80"/>
    </row>
    <row r="771" spans="3:4" ht="13">
      <c r="C771" s="89"/>
      <c r="D771" s="80"/>
    </row>
    <row r="772" spans="3:4" ht="13">
      <c r="C772" s="89"/>
      <c r="D772" s="80"/>
    </row>
    <row r="773" spans="3:4" ht="13">
      <c r="C773" s="89"/>
      <c r="D773" s="80"/>
    </row>
    <row r="774" spans="3:4" ht="13">
      <c r="C774" s="89"/>
      <c r="D774" s="80"/>
    </row>
    <row r="775" spans="3:4" ht="13">
      <c r="C775" s="89"/>
      <c r="D775" s="80"/>
    </row>
    <row r="776" spans="3:4" ht="13">
      <c r="C776" s="89"/>
      <c r="D776" s="80"/>
    </row>
    <row r="777" spans="3:4" ht="13">
      <c r="C777" s="89"/>
      <c r="D777" s="80"/>
    </row>
    <row r="778" spans="3:4" ht="13">
      <c r="C778" s="89"/>
      <c r="D778" s="80"/>
    </row>
    <row r="779" spans="3:4" ht="13">
      <c r="C779" s="89"/>
      <c r="D779" s="80"/>
    </row>
    <row r="780" spans="3:4" ht="13">
      <c r="C780" s="89"/>
      <c r="D780" s="80"/>
    </row>
    <row r="781" spans="3:4" ht="13">
      <c r="C781" s="89"/>
      <c r="D781" s="80"/>
    </row>
    <row r="782" spans="3:4" ht="13">
      <c r="C782" s="89"/>
      <c r="D782" s="80"/>
    </row>
    <row r="783" spans="3:4" ht="13">
      <c r="C783" s="89"/>
      <c r="D783" s="80"/>
    </row>
    <row r="784" spans="3:4" ht="13">
      <c r="C784" s="89"/>
      <c r="D784" s="80"/>
    </row>
    <row r="785" spans="3:4" ht="13">
      <c r="C785" s="89"/>
      <c r="D785" s="80"/>
    </row>
    <row r="786" spans="3:4" ht="13">
      <c r="C786" s="89"/>
      <c r="D786" s="80"/>
    </row>
    <row r="787" spans="3:4" ht="13">
      <c r="C787" s="89"/>
      <c r="D787" s="80"/>
    </row>
    <row r="788" spans="3:4" ht="13">
      <c r="C788" s="89"/>
      <c r="D788" s="80"/>
    </row>
    <row r="789" spans="3:4" ht="13">
      <c r="C789" s="89"/>
      <c r="D789" s="80"/>
    </row>
    <row r="790" spans="3:4" ht="13">
      <c r="C790" s="89"/>
      <c r="D790" s="80"/>
    </row>
    <row r="791" spans="3:4" ht="13">
      <c r="C791" s="89"/>
      <c r="D791" s="80"/>
    </row>
    <row r="792" spans="3:4" ht="13">
      <c r="C792" s="89"/>
      <c r="D792" s="80"/>
    </row>
    <row r="793" spans="3:4" ht="13">
      <c r="C793" s="89"/>
      <c r="D793" s="80"/>
    </row>
    <row r="794" spans="3:4" ht="13">
      <c r="C794" s="89"/>
      <c r="D794" s="80"/>
    </row>
    <row r="795" spans="3:4" ht="13">
      <c r="C795" s="89"/>
      <c r="D795" s="80"/>
    </row>
    <row r="796" spans="3:4" ht="13">
      <c r="C796" s="89"/>
      <c r="D796" s="80"/>
    </row>
    <row r="797" spans="3:4" ht="13">
      <c r="C797" s="89"/>
      <c r="D797" s="80"/>
    </row>
    <row r="798" spans="3:4" ht="13">
      <c r="C798" s="89"/>
      <c r="D798" s="80"/>
    </row>
    <row r="799" spans="3:4" ht="13">
      <c r="C799" s="89"/>
      <c r="D799" s="80"/>
    </row>
    <row r="800" spans="3:4" ht="13">
      <c r="C800" s="89"/>
      <c r="D800" s="80"/>
    </row>
    <row r="801" spans="3:4" ht="13">
      <c r="C801" s="89"/>
      <c r="D801" s="80"/>
    </row>
    <row r="802" spans="3:4" ht="13">
      <c r="C802" s="89"/>
      <c r="D802" s="80"/>
    </row>
    <row r="803" spans="3:4" ht="13">
      <c r="C803" s="89"/>
      <c r="D803" s="80"/>
    </row>
    <row r="804" spans="3:4" ht="13">
      <c r="C804" s="89"/>
      <c r="D804" s="80"/>
    </row>
    <row r="805" spans="3:4" ht="13">
      <c r="C805" s="89"/>
      <c r="D805" s="80"/>
    </row>
    <row r="806" spans="3:4" ht="13">
      <c r="C806" s="89"/>
      <c r="D806" s="80"/>
    </row>
    <row r="807" spans="3:4" ht="13">
      <c r="C807" s="89"/>
      <c r="D807" s="80"/>
    </row>
    <row r="808" spans="3:4" ht="13">
      <c r="C808" s="89"/>
      <c r="D808" s="80"/>
    </row>
    <row r="809" spans="3:4" ht="13">
      <c r="C809" s="89"/>
      <c r="D809" s="80"/>
    </row>
    <row r="810" spans="3:4" ht="13">
      <c r="C810" s="89"/>
      <c r="D810" s="80"/>
    </row>
    <row r="811" spans="3:4" ht="13">
      <c r="C811" s="89"/>
      <c r="D811" s="80"/>
    </row>
    <row r="812" spans="3:4" ht="13">
      <c r="C812" s="89"/>
      <c r="D812" s="80"/>
    </row>
    <row r="813" spans="3:4" ht="13">
      <c r="C813" s="89"/>
      <c r="D813" s="80"/>
    </row>
    <row r="814" spans="3:4" ht="13">
      <c r="C814" s="89"/>
      <c r="D814" s="80"/>
    </row>
    <row r="815" spans="3:4" ht="13">
      <c r="C815" s="89"/>
      <c r="D815" s="80"/>
    </row>
    <row r="816" spans="3:4" ht="13">
      <c r="C816" s="89"/>
      <c r="D816" s="80"/>
    </row>
    <row r="817" spans="3:4" ht="13">
      <c r="C817" s="89"/>
      <c r="D817" s="80"/>
    </row>
    <row r="818" spans="3:4" ht="13">
      <c r="C818" s="89"/>
      <c r="D818" s="80"/>
    </row>
    <row r="819" spans="3:4" ht="13">
      <c r="C819" s="89"/>
      <c r="D819" s="80"/>
    </row>
    <row r="820" spans="3:4" ht="13">
      <c r="C820" s="89"/>
      <c r="D820" s="80"/>
    </row>
    <row r="821" spans="3:4" ht="13">
      <c r="C821" s="89"/>
      <c r="D821" s="80"/>
    </row>
    <row r="822" spans="3:4" ht="13">
      <c r="C822" s="89"/>
      <c r="D822" s="80"/>
    </row>
    <row r="823" spans="3:4" ht="13">
      <c r="C823" s="89"/>
      <c r="D823" s="80"/>
    </row>
    <row r="824" spans="3:4" ht="13">
      <c r="C824" s="89"/>
      <c r="D824" s="80"/>
    </row>
    <row r="825" spans="3:4" ht="13">
      <c r="C825" s="89"/>
      <c r="D825" s="80"/>
    </row>
    <row r="826" spans="3:4" ht="13">
      <c r="C826" s="89"/>
      <c r="D826" s="80"/>
    </row>
    <row r="827" spans="3:4" ht="13">
      <c r="C827" s="89"/>
      <c r="D827" s="80"/>
    </row>
    <row r="828" spans="3:4" ht="13">
      <c r="C828" s="89"/>
      <c r="D828" s="80"/>
    </row>
    <row r="829" spans="3:4" ht="13">
      <c r="C829" s="89"/>
      <c r="D829" s="80"/>
    </row>
    <row r="830" spans="3:4" ht="13">
      <c r="C830" s="89"/>
      <c r="D830" s="80"/>
    </row>
    <row r="831" spans="3:4" ht="13">
      <c r="C831" s="89"/>
      <c r="D831" s="80"/>
    </row>
    <row r="832" spans="3:4" ht="13">
      <c r="C832" s="89"/>
      <c r="D832" s="80"/>
    </row>
    <row r="833" spans="3:4" ht="13">
      <c r="C833" s="89"/>
      <c r="D833" s="80"/>
    </row>
    <row r="834" spans="3:4" ht="13">
      <c r="C834" s="89"/>
      <c r="D834" s="80"/>
    </row>
    <row r="835" spans="3:4" ht="13">
      <c r="C835" s="89"/>
      <c r="D835" s="80"/>
    </row>
    <row r="836" spans="3:4" ht="13">
      <c r="C836" s="89"/>
      <c r="D836" s="80"/>
    </row>
    <row r="837" spans="3:4" ht="13">
      <c r="C837" s="89"/>
      <c r="D837" s="80"/>
    </row>
    <row r="838" spans="3:4" ht="13">
      <c r="C838" s="89"/>
      <c r="D838" s="80"/>
    </row>
    <row r="839" spans="3:4" ht="13">
      <c r="C839" s="89"/>
      <c r="D839" s="80"/>
    </row>
    <row r="840" spans="3:4" ht="13">
      <c r="C840" s="89"/>
      <c r="D840" s="80"/>
    </row>
    <row r="841" spans="3:4" ht="13">
      <c r="C841" s="89"/>
      <c r="D841" s="80"/>
    </row>
    <row r="842" spans="3:4" ht="13">
      <c r="C842" s="89"/>
      <c r="D842" s="80"/>
    </row>
    <row r="843" spans="3:4" ht="13">
      <c r="C843" s="89"/>
      <c r="D843" s="80"/>
    </row>
    <row r="844" spans="3:4" ht="13">
      <c r="C844" s="89"/>
      <c r="D844" s="80"/>
    </row>
    <row r="845" spans="3:4" ht="13">
      <c r="C845" s="89"/>
      <c r="D845" s="80"/>
    </row>
    <row r="846" spans="3:4" ht="13">
      <c r="C846" s="89"/>
      <c r="D846" s="80"/>
    </row>
    <row r="847" spans="3:4" ht="13">
      <c r="C847" s="89"/>
      <c r="D847" s="80"/>
    </row>
    <row r="848" spans="3:4" ht="13">
      <c r="C848" s="89"/>
      <c r="D848" s="80"/>
    </row>
    <row r="849" spans="3:4" ht="13">
      <c r="C849" s="89"/>
      <c r="D849" s="80"/>
    </row>
    <row r="850" spans="3:4" ht="13">
      <c r="C850" s="89"/>
      <c r="D850" s="80"/>
    </row>
    <row r="851" spans="3:4" ht="13">
      <c r="C851" s="89"/>
      <c r="D851" s="80"/>
    </row>
    <row r="852" spans="3:4" ht="13">
      <c r="C852" s="89"/>
      <c r="D852" s="80"/>
    </row>
    <row r="853" spans="3:4" ht="13">
      <c r="C853" s="89"/>
      <c r="D853" s="80"/>
    </row>
    <row r="854" spans="3:4" ht="13">
      <c r="C854" s="89"/>
      <c r="D854" s="80"/>
    </row>
    <row r="855" spans="3:4" ht="13">
      <c r="C855" s="89"/>
      <c r="D855" s="80"/>
    </row>
    <row r="856" spans="3:4" ht="13">
      <c r="C856" s="89"/>
      <c r="D856" s="80"/>
    </row>
    <row r="857" spans="3:4" ht="13">
      <c r="C857" s="89"/>
      <c r="D857" s="80"/>
    </row>
    <row r="858" spans="3:4" ht="13">
      <c r="C858" s="89"/>
      <c r="D858" s="80"/>
    </row>
    <row r="859" spans="3:4" ht="13">
      <c r="C859" s="89"/>
      <c r="D859" s="80"/>
    </row>
    <row r="860" spans="3:4" ht="13">
      <c r="C860" s="89"/>
      <c r="D860" s="80"/>
    </row>
    <row r="861" spans="3:4" ht="13">
      <c r="C861" s="89"/>
      <c r="D861" s="80"/>
    </row>
    <row r="862" spans="3:4" ht="13">
      <c r="C862" s="89"/>
      <c r="D862" s="80"/>
    </row>
    <row r="863" spans="3:4" ht="13">
      <c r="C863" s="89"/>
      <c r="D863" s="80"/>
    </row>
    <row r="864" spans="3:4" ht="13">
      <c r="C864" s="89"/>
      <c r="D864" s="80"/>
    </row>
    <row r="865" spans="3:4" ht="13">
      <c r="C865" s="89"/>
      <c r="D865" s="80"/>
    </row>
    <row r="866" spans="3:4" ht="13">
      <c r="C866" s="89"/>
      <c r="D866" s="80"/>
    </row>
    <row r="867" spans="3:4" ht="13">
      <c r="C867" s="89"/>
      <c r="D867" s="80"/>
    </row>
    <row r="868" spans="3:4" ht="13">
      <c r="C868" s="89"/>
      <c r="D868" s="80"/>
    </row>
    <row r="869" spans="3:4" ht="13">
      <c r="C869" s="89"/>
      <c r="D869" s="80"/>
    </row>
    <row r="870" spans="3:4" ht="13">
      <c r="C870" s="89"/>
      <c r="D870" s="80"/>
    </row>
    <row r="871" spans="3:4" ht="13">
      <c r="C871" s="89"/>
      <c r="D871" s="80"/>
    </row>
    <row r="872" spans="3:4" ht="13">
      <c r="C872" s="89"/>
      <c r="D872" s="80"/>
    </row>
    <row r="873" spans="3:4" ht="13">
      <c r="C873" s="89"/>
      <c r="D873" s="80"/>
    </row>
    <row r="874" spans="3:4" ht="13">
      <c r="C874" s="89"/>
      <c r="D874" s="80"/>
    </row>
    <row r="875" spans="3:4" ht="13">
      <c r="C875" s="89"/>
      <c r="D875" s="80"/>
    </row>
    <row r="876" spans="3:4" ht="13">
      <c r="C876" s="89"/>
      <c r="D876" s="80"/>
    </row>
    <row r="877" spans="3:4" ht="13">
      <c r="C877" s="89"/>
      <c r="D877" s="80"/>
    </row>
    <row r="878" spans="3:4" ht="13">
      <c r="C878" s="89"/>
      <c r="D878" s="80"/>
    </row>
    <row r="879" spans="3:4" ht="13">
      <c r="C879" s="89"/>
      <c r="D879" s="80"/>
    </row>
    <row r="880" spans="3:4" ht="13">
      <c r="C880" s="89"/>
      <c r="D880" s="80"/>
    </row>
    <row r="881" spans="3:4" ht="13">
      <c r="C881" s="89"/>
      <c r="D881" s="80"/>
    </row>
    <row r="882" spans="3:4" ht="13">
      <c r="C882" s="89"/>
      <c r="D882" s="80"/>
    </row>
    <row r="883" spans="3:4" ht="13">
      <c r="C883" s="89"/>
      <c r="D883" s="80"/>
    </row>
    <row r="884" spans="3:4" ht="13">
      <c r="C884" s="89"/>
      <c r="D884" s="80"/>
    </row>
    <row r="885" spans="3:4" ht="13">
      <c r="C885" s="89"/>
      <c r="D885" s="80"/>
    </row>
    <row r="886" spans="3:4" ht="13">
      <c r="C886" s="89"/>
      <c r="D886" s="80"/>
    </row>
    <row r="887" spans="3:4" ht="13">
      <c r="C887" s="89"/>
      <c r="D887" s="80"/>
    </row>
    <row r="888" spans="3:4" ht="13">
      <c r="C888" s="89"/>
      <c r="D888" s="80"/>
    </row>
    <row r="889" spans="3:4" ht="13">
      <c r="C889" s="89"/>
      <c r="D889" s="80"/>
    </row>
    <row r="890" spans="3:4" ht="13">
      <c r="C890" s="89"/>
      <c r="D890" s="80"/>
    </row>
    <row r="891" spans="3:4" ht="13">
      <c r="C891" s="89"/>
      <c r="D891" s="80"/>
    </row>
    <row r="892" spans="3:4" ht="13">
      <c r="C892" s="89"/>
      <c r="D892" s="80"/>
    </row>
    <row r="893" spans="3:4" ht="13">
      <c r="C893" s="89"/>
      <c r="D893" s="80"/>
    </row>
    <row r="894" spans="3:4" ht="13">
      <c r="C894" s="89"/>
      <c r="D894" s="80"/>
    </row>
    <row r="895" spans="3:4" ht="13">
      <c r="C895" s="89"/>
      <c r="D895" s="80"/>
    </row>
    <row r="896" spans="3:4" ht="13">
      <c r="C896" s="89"/>
      <c r="D896" s="80"/>
    </row>
    <row r="897" spans="3:4" ht="13">
      <c r="C897" s="89"/>
      <c r="D897" s="80"/>
    </row>
    <row r="898" spans="3:4" ht="13">
      <c r="C898" s="89"/>
      <c r="D898" s="80"/>
    </row>
    <row r="899" spans="3:4" ht="13">
      <c r="C899" s="89"/>
      <c r="D899" s="80"/>
    </row>
    <row r="900" spans="3:4" ht="13">
      <c r="C900" s="89"/>
      <c r="D900" s="80"/>
    </row>
    <row r="901" spans="3:4" ht="13">
      <c r="C901" s="89"/>
      <c r="D901" s="80"/>
    </row>
    <row r="902" spans="3:4" ht="13">
      <c r="C902" s="89"/>
      <c r="D902" s="80"/>
    </row>
    <row r="903" spans="3:4" ht="13">
      <c r="C903" s="89"/>
      <c r="D903" s="80"/>
    </row>
    <row r="904" spans="3:4" ht="13">
      <c r="C904" s="89"/>
      <c r="D904" s="80"/>
    </row>
    <row r="905" spans="3:4" ht="13">
      <c r="C905" s="89"/>
      <c r="D905" s="80"/>
    </row>
    <row r="906" spans="3:4" ht="13">
      <c r="C906" s="89"/>
      <c r="D906" s="80"/>
    </row>
    <row r="907" spans="3:4" ht="13">
      <c r="C907" s="89"/>
      <c r="D907" s="80"/>
    </row>
    <row r="908" spans="3:4" ht="13">
      <c r="C908" s="89"/>
      <c r="D908" s="80"/>
    </row>
    <row r="909" spans="3:4" ht="13">
      <c r="C909" s="89"/>
      <c r="D909" s="80"/>
    </row>
    <row r="910" spans="3:4" ht="13">
      <c r="C910" s="89"/>
      <c r="D910" s="80"/>
    </row>
    <row r="911" spans="3:4" ht="13">
      <c r="C911" s="89"/>
      <c r="D911" s="80"/>
    </row>
    <row r="912" spans="3:4" ht="13">
      <c r="C912" s="89"/>
      <c r="D912" s="80"/>
    </row>
    <row r="913" spans="3:4" ht="13">
      <c r="C913" s="89"/>
      <c r="D913" s="80"/>
    </row>
    <row r="914" spans="3:4" ht="13">
      <c r="C914" s="89"/>
      <c r="D914" s="80"/>
    </row>
    <row r="915" spans="3:4" ht="13">
      <c r="C915" s="89"/>
      <c r="D915" s="80"/>
    </row>
    <row r="916" spans="3:4" ht="13">
      <c r="C916" s="89"/>
      <c r="D916" s="80"/>
    </row>
    <row r="917" spans="3:4" ht="13">
      <c r="C917" s="89"/>
      <c r="D917" s="80"/>
    </row>
    <row r="918" spans="3:4" ht="13">
      <c r="C918" s="89"/>
      <c r="D918" s="80"/>
    </row>
    <row r="919" spans="3:4" ht="13">
      <c r="C919" s="89"/>
      <c r="D919" s="80"/>
    </row>
    <row r="920" spans="3:4" ht="13">
      <c r="C920" s="89"/>
      <c r="D920" s="80"/>
    </row>
    <row r="921" spans="3:4" ht="13">
      <c r="C921" s="89"/>
      <c r="D921" s="80"/>
    </row>
    <row r="922" spans="3:4" ht="13">
      <c r="C922" s="89"/>
      <c r="D922" s="80"/>
    </row>
    <row r="923" spans="3:4" ht="13">
      <c r="C923" s="89"/>
      <c r="D923" s="80"/>
    </row>
    <row r="924" spans="3:4" ht="13">
      <c r="C924" s="89"/>
      <c r="D924" s="80"/>
    </row>
    <row r="925" spans="3:4" ht="13">
      <c r="C925" s="89"/>
      <c r="D925" s="80"/>
    </row>
    <row r="926" spans="3:4" ht="13">
      <c r="C926" s="89"/>
      <c r="D926" s="80"/>
    </row>
    <row r="927" spans="3:4" ht="13">
      <c r="C927" s="89"/>
      <c r="D927" s="80"/>
    </row>
    <row r="928" spans="3:4" ht="13">
      <c r="C928" s="89"/>
      <c r="D928" s="80"/>
    </row>
    <row r="929" spans="3:4" ht="13">
      <c r="C929" s="89"/>
      <c r="D929" s="80"/>
    </row>
    <row r="930" spans="3:4" ht="13">
      <c r="C930" s="89"/>
      <c r="D930" s="80"/>
    </row>
    <row r="931" spans="3:4" ht="13">
      <c r="C931" s="89"/>
      <c r="D931" s="80"/>
    </row>
    <row r="932" spans="3:4" ht="13">
      <c r="C932" s="89"/>
      <c r="D932" s="80"/>
    </row>
    <row r="933" spans="3:4" ht="13">
      <c r="C933" s="89"/>
      <c r="D933" s="80"/>
    </row>
    <row r="934" spans="3:4" ht="13">
      <c r="C934" s="89"/>
      <c r="D934" s="80"/>
    </row>
    <row r="935" spans="3:4" ht="13">
      <c r="C935" s="89"/>
      <c r="D935" s="80"/>
    </row>
    <row r="936" spans="3:4" ht="13">
      <c r="C936" s="89"/>
      <c r="D936" s="80"/>
    </row>
    <row r="937" spans="3:4" ht="13">
      <c r="C937" s="89"/>
      <c r="D937" s="80"/>
    </row>
    <row r="938" spans="3:4" ht="13">
      <c r="C938" s="89"/>
      <c r="D938" s="80"/>
    </row>
    <row r="939" spans="3:4" ht="13">
      <c r="C939" s="89"/>
      <c r="D939" s="80"/>
    </row>
    <row r="940" spans="3:4" ht="13">
      <c r="C940" s="89"/>
      <c r="D940" s="80"/>
    </row>
    <row r="941" spans="3:4" ht="13">
      <c r="C941" s="89"/>
      <c r="D941" s="80"/>
    </row>
    <row r="942" spans="3:4" ht="13">
      <c r="C942" s="89"/>
      <c r="D942" s="80"/>
    </row>
    <row r="943" spans="3:4" ht="13">
      <c r="C943" s="89"/>
      <c r="D943" s="80"/>
    </row>
    <row r="944" spans="3:4" ht="13">
      <c r="C944" s="89"/>
      <c r="D944" s="80"/>
    </row>
    <row r="945" spans="3:4" ht="13">
      <c r="C945" s="89"/>
      <c r="D945" s="80"/>
    </row>
    <row r="946" spans="3:4" ht="13">
      <c r="C946" s="89"/>
      <c r="D946" s="80"/>
    </row>
    <row r="947" spans="3:4" ht="13">
      <c r="C947" s="89"/>
      <c r="D947" s="80"/>
    </row>
    <row r="948" spans="3:4" ht="13">
      <c r="C948" s="89"/>
      <c r="D948" s="80"/>
    </row>
    <row r="949" spans="3:4" ht="13">
      <c r="C949" s="89"/>
      <c r="D949" s="80"/>
    </row>
    <row r="950" spans="3:4" ht="13">
      <c r="C950" s="89"/>
      <c r="D950" s="80"/>
    </row>
    <row r="951" spans="3:4" ht="13">
      <c r="C951" s="89"/>
      <c r="D951" s="80"/>
    </row>
    <row r="952" spans="3:4" ht="13">
      <c r="C952" s="89"/>
      <c r="D952" s="80"/>
    </row>
    <row r="953" spans="3:4" ht="13">
      <c r="C953" s="89"/>
      <c r="D953" s="80"/>
    </row>
    <row r="954" spans="3:4" ht="13">
      <c r="C954" s="89"/>
      <c r="D954" s="80"/>
    </row>
    <row r="955" spans="3:4" ht="13">
      <c r="C955" s="89"/>
      <c r="D955" s="80"/>
    </row>
    <row r="956" spans="3:4" ht="13">
      <c r="C956" s="89"/>
      <c r="D956" s="80"/>
    </row>
    <row r="957" spans="3:4" ht="13">
      <c r="C957" s="89"/>
      <c r="D957" s="80"/>
    </row>
    <row r="958" spans="3:4" ht="13">
      <c r="C958" s="89"/>
      <c r="D958" s="80"/>
    </row>
    <row r="959" spans="3:4" ht="13">
      <c r="C959" s="89"/>
      <c r="D959" s="80"/>
    </row>
    <row r="960" spans="3:4" ht="13">
      <c r="C960" s="89"/>
      <c r="D960" s="80"/>
    </row>
    <row r="961" spans="3:4" ht="13">
      <c r="C961" s="89"/>
      <c r="D961" s="80"/>
    </row>
    <row r="962" spans="3:4" ht="13">
      <c r="C962" s="89"/>
      <c r="D962" s="80"/>
    </row>
    <row r="963" spans="3:4" ht="13">
      <c r="C963" s="89"/>
      <c r="D963" s="80"/>
    </row>
    <row r="964" spans="3:4" ht="13">
      <c r="C964" s="89"/>
      <c r="D964" s="80"/>
    </row>
    <row r="965" spans="3:4" ht="13">
      <c r="C965" s="89"/>
      <c r="D965" s="80"/>
    </row>
    <row r="966" spans="3:4" ht="13">
      <c r="C966" s="89"/>
      <c r="D966" s="80"/>
    </row>
    <row r="967" spans="3:4" ht="13">
      <c r="C967" s="89"/>
      <c r="D967" s="80"/>
    </row>
    <row r="968" spans="3:4" ht="13">
      <c r="C968" s="89"/>
      <c r="D968" s="80"/>
    </row>
    <row r="969" spans="3:4" ht="13">
      <c r="C969" s="89"/>
      <c r="D969" s="80"/>
    </row>
    <row r="970" spans="3:4" ht="13">
      <c r="C970" s="89"/>
      <c r="D970" s="80"/>
    </row>
    <row r="971" spans="3:4" ht="13">
      <c r="C971" s="89"/>
      <c r="D971" s="80"/>
    </row>
    <row r="972" spans="3:4" ht="13">
      <c r="C972" s="89"/>
      <c r="D972" s="80"/>
    </row>
    <row r="973" spans="3:4" ht="13">
      <c r="C973" s="89"/>
      <c r="D973" s="80"/>
    </row>
    <row r="974" spans="3:4" ht="13">
      <c r="C974" s="89"/>
      <c r="D974" s="80"/>
    </row>
    <row r="975" spans="3:4" ht="13">
      <c r="C975" s="89"/>
      <c r="D975" s="80"/>
    </row>
    <row r="976" spans="3:4" ht="13">
      <c r="C976" s="89"/>
      <c r="D976" s="80"/>
    </row>
    <row r="977" spans="3:4" ht="13">
      <c r="C977" s="89"/>
      <c r="D977" s="80"/>
    </row>
    <row r="978" spans="3:4" ht="13">
      <c r="C978" s="89"/>
      <c r="D978" s="80"/>
    </row>
    <row r="979" spans="3:4" ht="13">
      <c r="C979" s="89"/>
      <c r="D979" s="80"/>
    </row>
    <row r="980" spans="3:4" ht="13">
      <c r="C980" s="89"/>
      <c r="D980" s="80"/>
    </row>
    <row r="981" spans="3:4" ht="13">
      <c r="C981" s="89"/>
      <c r="D981" s="80"/>
    </row>
    <row r="982" spans="3:4" ht="13">
      <c r="C982" s="89"/>
      <c r="D982" s="80"/>
    </row>
    <row r="983" spans="3:4" ht="13">
      <c r="C983" s="89"/>
      <c r="D983" s="80"/>
    </row>
    <row r="984" spans="3:4" ht="13">
      <c r="C984" s="89"/>
      <c r="D984" s="80"/>
    </row>
    <row r="985" spans="3:4" ht="13">
      <c r="C985" s="89"/>
      <c r="D985" s="80"/>
    </row>
    <row r="986" spans="3:4" ht="13">
      <c r="C986" s="89"/>
      <c r="D986" s="80"/>
    </row>
    <row r="987" spans="3:4" ht="13">
      <c r="C987" s="89"/>
      <c r="D987" s="80"/>
    </row>
    <row r="988" spans="3:4" ht="13">
      <c r="C988" s="89"/>
      <c r="D988" s="80"/>
    </row>
    <row r="989" spans="3:4" ht="13">
      <c r="C989" s="89"/>
      <c r="D989" s="80"/>
    </row>
    <row r="990" spans="3:4" ht="13">
      <c r="C990" s="89"/>
      <c r="D990" s="80"/>
    </row>
    <row r="991" spans="3:4" ht="13">
      <c r="C991" s="89"/>
      <c r="D991" s="80"/>
    </row>
    <row r="992" spans="3:4" ht="13">
      <c r="C992" s="89"/>
      <c r="D992" s="80"/>
    </row>
    <row r="993" spans="3:4" ht="13">
      <c r="C993" s="89"/>
      <c r="D993" s="80"/>
    </row>
    <row r="994" spans="3:4" ht="13">
      <c r="C994" s="89"/>
      <c r="D994" s="80"/>
    </row>
    <row r="995" spans="3:4" ht="13">
      <c r="C995" s="89"/>
      <c r="D995" s="80"/>
    </row>
  </sheetData>
  <autoFilter ref="A1:D76" xr:uid="{00000000-0009-0000-0000-000008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993"/>
  <sheetViews>
    <sheetView workbookViewId="0">
      <selection activeCell="F16" sqref="F16"/>
    </sheetView>
  </sheetViews>
  <sheetFormatPr baseColWidth="10" defaultColWidth="12.6640625" defaultRowHeight="15.75" customHeight="1"/>
  <cols>
    <col min="1" max="1" width="14" bestFit="1" customWidth="1"/>
    <col min="2" max="2" width="20.5" customWidth="1"/>
    <col min="3" max="3" width="12.6640625" style="110"/>
  </cols>
  <sheetData>
    <row r="1" spans="1:24" ht="15.75" customHeight="1">
      <c r="A1" s="75" t="s">
        <v>212</v>
      </c>
      <c r="B1" s="75" t="s">
        <v>213</v>
      </c>
      <c r="C1" s="75" t="s">
        <v>215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4" ht="15.75" customHeight="1">
      <c r="A2" s="79" t="s">
        <v>216</v>
      </c>
      <c r="B2" s="35" t="s">
        <v>86</v>
      </c>
      <c r="C2" s="110">
        <v>484.02710551790904</v>
      </c>
    </row>
    <row r="3" spans="1:24" ht="15.75" customHeight="1">
      <c r="A3" s="79" t="s">
        <v>216</v>
      </c>
      <c r="B3" s="35" t="s">
        <v>217</v>
      </c>
      <c r="C3" s="110">
        <v>374.31429493384962</v>
      </c>
    </row>
    <row r="4" spans="1:24" ht="15.75" customHeight="1">
      <c r="A4" s="79" t="s">
        <v>216</v>
      </c>
      <c r="B4" s="35" t="s">
        <v>226</v>
      </c>
      <c r="C4" s="110">
        <v>482.71485425406047</v>
      </c>
    </row>
    <row r="5" spans="1:24" ht="15.75" customHeight="1">
      <c r="A5" s="79" t="s">
        <v>216</v>
      </c>
      <c r="B5" s="35" t="s">
        <v>75</v>
      </c>
      <c r="C5" s="110">
        <v>795.21350973432288</v>
      </c>
    </row>
    <row r="6" spans="1:24" ht="15.75" customHeight="1">
      <c r="A6" s="79" t="s">
        <v>216</v>
      </c>
      <c r="B6" s="35" t="s">
        <v>227</v>
      </c>
      <c r="C6" s="110">
        <v>538.08755512530922</v>
      </c>
    </row>
    <row r="7" spans="1:24" ht="15.75" customHeight="1">
      <c r="A7" s="79" t="s">
        <v>216</v>
      </c>
      <c r="B7" s="35" t="s">
        <v>228</v>
      </c>
      <c r="C7" s="110">
        <v>382.23082714854257</v>
      </c>
    </row>
    <row r="8" spans="1:24" ht="15.75" customHeight="1">
      <c r="A8" s="79" t="s">
        <v>216</v>
      </c>
      <c r="B8" s="35" t="s">
        <v>91</v>
      </c>
      <c r="C8" s="110">
        <v>486.87748736151445</v>
      </c>
    </row>
    <row r="9" spans="1:24" ht="15.75" customHeight="1">
      <c r="A9" s="79" t="s">
        <v>216</v>
      </c>
      <c r="B9" s="82" t="s">
        <v>47</v>
      </c>
      <c r="C9" s="110">
        <v>308.02409379369692</v>
      </c>
    </row>
    <row r="10" spans="1:24" ht="15.75" customHeight="1">
      <c r="A10" s="79" t="s">
        <v>216</v>
      </c>
      <c r="B10" s="82" t="s">
        <v>48</v>
      </c>
      <c r="C10" s="110">
        <v>369.31268151016457</v>
      </c>
    </row>
    <row r="11" spans="1:24" ht="15.75" customHeight="1">
      <c r="A11" s="79" t="s">
        <v>216</v>
      </c>
      <c r="B11" s="82" t="s">
        <v>49</v>
      </c>
      <c r="C11" s="110">
        <v>498.05313542002796</v>
      </c>
    </row>
    <row r="12" spans="1:24" ht="15.75" customHeight="1">
      <c r="A12" s="9" t="s">
        <v>220</v>
      </c>
      <c r="B12" s="35" t="s">
        <v>191</v>
      </c>
      <c r="C12" s="110">
        <v>1035.7427127030226</v>
      </c>
    </row>
    <row r="13" spans="1:24" ht="15.75" customHeight="1">
      <c r="A13" s="34" t="s">
        <v>93</v>
      </c>
      <c r="B13" s="35" t="s">
        <v>94</v>
      </c>
      <c r="C13" s="110">
        <v>866.94632677207699</v>
      </c>
    </row>
    <row r="14" spans="1:24" ht="15.75" customHeight="1">
      <c r="A14" s="34" t="s">
        <v>93</v>
      </c>
      <c r="B14" s="35" t="s">
        <v>95</v>
      </c>
      <c r="C14" s="110">
        <v>177.04635904055073</v>
      </c>
    </row>
    <row r="15" spans="1:24" ht="15.75" customHeight="1">
      <c r="A15" s="34" t="s">
        <v>114</v>
      </c>
      <c r="B15" s="35" t="s">
        <v>96</v>
      </c>
      <c r="C15" s="110">
        <v>694.40679789179308</v>
      </c>
    </row>
    <row r="16" spans="1:24" ht="15.75" customHeight="1">
      <c r="A16" s="9" t="s">
        <v>196</v>
      </c>
      <c r="B16" s="35" t="s">
        <v>99</v>
      </c>
      <c r="C16" s="110">
        <v>277.59492309347104</v>
      </c>
    </row>
    <row r="17" spans="1:3" ht="15.75" customHeight="1">
      <c r="A17" s="9" t="s">
        <v>196</v>
      </c>
      <c r="B17" s="35" t="s">
        <v>101</v>
      </c>
      <c r="C17" s="110">
        <v>86.049263203183827</v>
      </c>
    </row>
    <row r="18" spans="1:3" ht="15.75" customHeight="1">
      <c r="A18" s="9" t="s">
        <v>197</v>
      </c>
      <c r="B18" s="35" t="s">
        <v>102</v>
      </c>
      <c r="C18" s="110">
        <v>409.98171453156931</v>
      </c>
    </row>
    <row r="19" spans="1:3" ht="15.75" customHeight="1">
      <c r="A19" s="9" t="s">
        <v>197</v>
      </c>
      <c r="B19" s="35" t="s">
        <v>198</v>
      </c>
      <c r="C19" s="110">
        <v>446.14391739270735</v>
      </c>
    </row>
    <row r="20" spans="1:3" ht="15.75" customHeight="1">
      <c r="A20" s="9" t="s">
        <v>220</v>
      </c>
      <c r="B20" s="35" t="s">
        <v>104</v>
      </c>
      <c r="C20" s="110">
        <v>1581.1552113585028</v>
      </c>
    </row>
    <row r="21" spans="1:3" ht="15.75" customHeight="1">
      <c r="A21" s="9" t="s">
        <v>114</v>
      </c>
      <c r="B21" s="35" t="s">
        <v>90</v>
      </c>
      <c r="C21" s="110">
        <v>1567.1722060879854</v>
      </c>
    </row>
    <row r="22" spans="1:3" ht="15.75" customHeight="1">
      <c r="A22" s="9" t="s">
        <v>220</v>
      </c>
      <c r="B22" s="35" t="s">
        <v>105</v>
      </c>
      <c r="C22" s="110">
        <v>1183.1773690437776</v>
      </c>
    </row>
    <row r="23" spans="1:3" ht="15.75" customHeight="1">
      <c r="A23" s="9" t="s">
        <v>196</v>
      </c>
      <c r="B23" s="35" t="s">
        <v>106</v>
      </c>
      <c r="C23" s="110">
        <v>385.07045283424759</v>
      </c>
    </row>
    <row r="24" spans="1:3" ht="15.75" customHeight="1">
      <c r="A24" s="9" t="s">
        <v>114</v>
      </c>
      <c r="B24" s="35" t="s">
        <v>123</v>
      </c>
      <c r="C24" s="110">
        <v>5000</v>
      </c>
    </row>
    <row r="25" spans="1:3" ht="15.75" customHeight="1">
      <c r="A25" s="9" t="s">
        <v>114</v>
      </c>
      <c r="B25" s="35" t="s">
        <v>221</v>
      </c>
      <c r="C25" s="110">
        <v>3333.3333333333335</v>
      </c>
    </row>
    <row r="26" spans="1:3" ht="15.75" customHeight="1">
      <c r="A26" s="9" t="s">
        <v>114</v>
      </c>
      <c r="B26" s="35" t="s">
        <v>222</v>
      </c>
      <c r="C26" s="110">
        <v>10991.932881574701</v>
      </c>
    </row>
    <row r="27" spans="1:3" ht="15.75" customHeight="1">
      <c r="A27" s="9" t="s">
        <v>220</v>
      </c>
      <c r="B27" s="35" t="s">
        <v>107</v>
      </c>
      <c r="C27" s="110">
        <v>12500</v>
      </c>
    </row>
    <row r="28" spans="1:3" ht="15.75" customHeight="1">
      <c r="A28" s="9" t="s">
        <v>197</v>
      </c>
      <c r="B28" s="69" t="s">
        <v>229</v>
      </c>
      <c r="C28" s="110">
        <v>274.74454124986556</v>
      </c>
    </row>
    <row r="29" spans="1:3" ht="15.75" customHeight="1">
      <c r="A29" s="9" t="s">
        <v>223</v>
      </c>
      <c r="B29" s="69" t="s">
        <v>209</v>
      </c>
      <c r="C29" s="110">
        <v>530.79488006883946</v>
      </c>
    </row>
    <row r="30" spans="1:3" ht="15.75" customHeight="1">
      <c r="A30" s="9" t="s">
        <v>223</v>
      </c>
      <c r="B30" s="69" t="s">
        <v>210</v>
      </c>
      <c r="C30" s="110">
        <v>387.28622136172959</v>
      </c>
    </row>
    <row r="31" spans="1:3" ht="15.75" customHeight="1">
      <c r="A31" s="9" t="s">
        <v>223</v>
      </c>
      <c r="B31" s="81" t="s">
        <v>204</v>
      </c>
      <c r="C31" s="110">
        <v>1559.6428955577069</v>
      </c>
    </row>
    <row r="32" spans="1:3" ht="15.75" customHeight="1">
      <c r="A32" s="9" t="s">
        <v>223</v>
      </c>
      <c r="B32" s="81" t="s">
        <v>20</v>
      </c>
      <c r="C32" s="110">
        <v>612.8858771646768</v>
      </c>
    </row>
    <row r="33" spans="1:3" ht="15.75" customHeight="1">
      <c r="A33" s="9" t="s">
        <v>223</v>
      </c>
      <c r="B33" s="81" t="s">
        <v>23</v>
      </c>
      <c r="C33" s="110">
        <v>361.47144240077444</v>
      </c>
    </row>
    <row r="34" spans="1:3" ht="15.75" customHeight="1">
      <c r="A34" s="9" t="s">
        <v>223</v>
      </c>
      <c r="B34" s="81" t="s">
        <v>22</v>
      </c>
      <c r="C34" s="110">
        <v>656.90007529310526</v>
      </c>
    </row>
    <row r="35" spans="1:3" ht="15.75" customHeight="1">
      <c r="A35" s="9" t="s">
        <v>223</v>
      </c>
      <c r="B35" s="81" t="s">
        <v>92</v>
      </c>
      <c r="C35" s="110">
        <v>716.76885016672043</v>
      </c>
    </row>
    <row r="36" spans="1:3" ht="15.75" customHeight="1">
      <c r="A36" s="9" t="s">
        <v>223</v>
      </c>
      <c r="B36" s="81" t="s">
        <v>28</v>
      </c>
      <c r="C36" s="110">
        <v>1148.7576637625041</v>
      </c>
    </row>
    <row r="37" spans="1:3" ht="15.75" customHeight="1">
      <c r="A37" s="9" t="s">
        <v>223</v>
      </c>
      <c r="B37" s="81" t="s">
        <v>109</v>
      </c>
      <c r="C37" s="110">
        <v>481.8758739378294</v>
      </c>
    </row>
    <row r="38" spans="1:3" ht="15.75" customHeight="1">
      <c r="A38" s="9" t="s">
        <v>223</v>
      </c>
      <c r="B38" s="81" t="s">
        <v>31</v>
      </c>
      <c r="C38" s="110">
        <v>462.51478971711305</v>
      </c>
    </row>
    <row r="39" spans="1:3" ht="15.75" customHeight="1">
      <c r="A39" s="9" t="s">
        <v>223</v>
      </c>
      <c r="B39" s="81" t="s">
        <v>32</v>
      </c>
      <c r="C39" s="110">
        <v>393.567817575562</v>
      </c>
    </row>
    <row r="40" spans="1:3" ht="15.75" customHeight="1">
      <c r="A40" s="9" t="s">
        <v>223</v>
      </c>
      <c r="B40" s="81" t="s">
        <v>33</v>
      </c>
      <c r="C40" s="110">
        <v>479.72464235774981</v>
      </c>
    </row>
    <row r="41" spans="1:3" ht="15.75" customHeight="1">
      <c r="A41" s="9" t="s">
        <v>223</v>
      </c>
      <c r="B41" s="82" t="s">
        <v>35</v>
      </c>
      <c r="C41" s="110">
        <v>1087.1894159406261</v>
      </c>
    </row>
    <row r="42" spans="1:3" ht="15.75" customHeight="1">
      <c r="A42" s="9" t="s">
        <v>223</v>
      </c>
      <c r="B42" s="83" t="s">
        <v>37</v>
      </c>
      <c r="C42" s="110">
        <v>958.53501129396579</v>
      </c>
    </row>
    <row r="43" spans="1:3" ht="15.75" customHeight="1">
      <c r="A43" s="9" t="s">
        <v>223</v>
      </c>
      <c r="B43" s="83" t="s">
        <v>38</v>
      </c>
      <c r="C43" s="110">
        <v>647.02592234053998</v>
      </c>
    </row>
    <row r="44" spans="1:3" ht="15.75" customHeight="1">
      <c r="A44" s="9" t="s">
        <v>223</v>
      </c>
      <c r="B44" s="83" t="s">
        <v>40</v>
      </c>
      <c r="C44" s="110">
        <v>524.90050553942137</v>
      </c>
    </row>
    <row r="45" spans="1:3" ht="15.75" customHeight="1">
      <c r="A45" s="9" t="s">
        <v>223</v>
      </c>
      <c r="B45" s="83" t="s">
        <v>42</v>
      </c>
      <c r="C45" s="110">
        <v>568.38765193073039</v>
      </c>
    </row>
    <row r="46" spans="1:3" ht="15.75" customHeight="1">
      <c r="A46" s="9" t="s">
        <v>223</v>
      </c>
      <c r="B46" s="83" t="s">
        <v>43</v>
      </c>
      <c r="C46" s="110">
        <v>478.8749058836184</v>
      </c>
    </row>
    <row r="47" spans="1:3" ht="15.75" customHeight="1">
      <c r="A47" s="9" t="s">
        <v>223</v>
      </c>
      <c r="B47" s="81" t="s">
        <v>52</v>
      </c>
      <c r="C47" s="110">
        <v>1010.2183500053781</v>
      </c>
    </row>
    <row r="48" spans="1:3" ht="15.75" customHeight="1">
      <c r="A48" s="9" t="s">
        <v>223</v>
      </c>
      <c r="B48" s="81" t="s">
        <v>51</v>
      </c>
      <c r="C48" s="110">
        <v>871.98020866946331</v>
      </c>
    </row>
    <row r="49" spans="1:3" ht="15.75" customHeight="1">
      <c r="A49" s="9" t="s">
        <v>223</v>
      </c>
      <c r="B49" s="81" t="s">
        <v>60</v>
      </c>
      <c r="C49" s="110">
        <v>763.68721092825649</v>
      </c>
    </row>
    <row r="50" spans="1:3" ht="15">
      <c r="A50" s="9" t="s">
        <v>223</v>
      </c>
      <c r="B50" s="69" t="s">
        <v>187</v>
      </c>
      <c r="C50" s="110">
        <v>548.56405292029683</v>
      </c>
    </row>
    <row r="51" spans="1:3" ht="15">
      <c r="A51" s="9" t="s">
        <v>223</v>
      </c>
      <c r="B51" s="69" t="s">
        <v>145</v>
      </c>
      <c r="C51" s="110">
        <v>1004.162633107454</v>
      </c>
    </row>
    <row r="52" spans="1:3" ht="15">
      <c r="A52" s="9" t="s">
        <v>223</v>
      </c>
      <c r="B52" s="85" t="s">
        <v>67</v>
      </c>
      <c r="C52" s="110">
        <v>638.91577928363984</v>
      </c>
    </row>
    <row r="53" spans="1:3" ht="15">
      <c r="A53" s="9" t="s">
        <v>223</v>
      </c>
      <c r="B53" s="85" t="s">
        <v>68</v>
      </c>
      <c r="C53" s="110">
        <v>695.83736689254602</v>
      </c>
    </row>
    <row r="54" spans="1:3" ht="15">
      <c r="A54" s="9" t="s">
        <v>223</v>
      </c>
      <c r="B54" s="85" t="s">
        <v>69</v>
      </c>
      <c r="C54" s="110">
        <v>521.12509411638166</v>
      </c>
    </row>
    <row r="55" spans="1:3" ht="15">
      <c r="A55" s="9" t="s">
        <v>223</v>
      </c>
      <c r="B55" s="85" t="s">
        <v>65</v>
      </c>
      <c r="C55" s="110">
        <v>631.13907712165212</v>
      </c>
    </row>
    <row r="56" spans="1:3" ht="15">
      <c r="A56" s="9" t="s">
        <v>223</v>
      </c>
      <c r="B56" s="69" t="s">
        <v>77</v>
      </c>
      <c r="C56" s="110">
        <v>684.09164246531145</v>
      </c>
    </row>
    <row r="57" spans="1:3" ht="15">
      <c r="A57" s="9" t="s">
        <v>223</v>
      </c>
      <c r="B57" s="85" t="s">
        <v>89</v>
      </c>
      <c r="C57" s="110">
        <v>663.21393998063888</v>
      </c>
    </row>
    <row r="58" spans="1:3" ht="15">
      <c r="A58" s="9" t="s">
        <v>223</v>
      </c>
      <c r="B58" s="85" t="s">
        <v>206</v>
      </c>
      <c r="C58" s="110">
        <v>752.93105302785841</v>
      </c>
    </row>
    <row r="59" spans="1:3" ht="15">
      <c r="A59" s="9" t="s">
        <v>223</v>
      </c>
      <c r="B59" s="86" t="s">
        <v>66</v>
      </c>
      <c r="C59" s="110">
        <v>589.43745294180917</v>
      </c>
    </row>
    <row r="60" spans="1:3" ht="15">
      <c r="A60" s="9" t="s">
        <v>223</v>
      </c>
      <c r="B60" s="85" t="s">
        <v>153</v>
      </c>
      <c r="C60" s="110">
        <v>1301.4951059481552</v>
      </c>
    </row>
    <row r="61" spans="1:3" ht="15">
      <c r="A61" s="9" t="s">
        <v>223</v>
      </c>
      <c r="B61" s="85" t="s">
        <v>154</v>
      </c>
      <c r="C61" s="110">
        <v>505.53942131870497</v>
      </c>
    </row>
    <row r="62" spans="1:3" ht="15">
      <c r="A62" s="9" t="s">
        <v>223</v>
      </c>
      <c r="B62" s="69" t="s">
        <v>157</v>
      </c>
      <c r="C62" s="110">
        <v>651.82316876411744</v>
      </c>
    </row>
    <row r="63" spans="1:3" ht="15">
      <c r="A63" s="9" t="s">
        <v>223</v>
      </c>
      <c r="B63" s="85" t="s">
        <v>158</v>
      </c>
      <c r="C63" s="110">
        <v>500.25814778960955</v>
      </c>
    </row>
    <row r="64" spans="1:3" ht="15">
      <c r="A64" s="9" t="s">
        <v>223</v>
      </c>
      <c r="B64" s="85" t="s">
        <v>207</v>
      </c>
      <c r="C64" s="110">
        <v>645.36947402387864</v>
      </c>
    </row>
    <row r="65" spans="1:3" ht="15">
      <c r="A65" s="9" t="s">
        <v>223</v>
      </c>
      <c r="B65" s="85" t="s">
        <v>81</v>
      </c>
      <c r="C65" s="110">
        <v>955.52328708185439</v>
      </c>
    </row>
    <row r="66" spans="1:3" ht="15">
      <c r="A66" s="9" t="s">
        <v>223</v>
      </c>
      <c r="B66" s="85" t="s">
        <v>208</v>
      </c>
      <c r="C66" s="110">
        <v>610.60557168979244</v>
      </c>
    </row>
    <row r="67" spans="1:3" ht="15">
      <c r="A67" s="9" t="s">
        <v>223</v>
      </c>
      <c r="B67" s="85" t="s">
        <v>160</v>
      </c>
      <c r="C67" s="110">
        <v>555.01774766053563</v>
      </c>
    </row>
    <row r="68" spans="1:3" ht="16">
      <c r="A68" s="9" t="s">
        <v>223</v>
      </c>
      <c r="B68" s="81" t="s">
        <v>58</v>
      </c>
      <c r="C68" s="110">
        <v>1301.4951059481552</v>
      </c>
    </row>
    <row r="69" spans="1:3" ht="15">
      <c r="A69" s="9" t="s">
        <v>223</v>
      </c>
      <c r="B69" s="87" t="s">
        <v>54</v>
      </c>
      <c r="C69" s="110">
        <v>1855.4372378186513</v>
      </c>
    </row>
    <row r="70" spans="1:3" ht="15">
      <c r="A70" s="9" t="s">
        <v>223</v>
      </c>
      <c r="B70" s="87" t="s">
        <v>55</v>
      </c>
      <c r="C70" s="110">
        <v>3226.8473701193934</v>
      </c>
    </row>
    <row r="71" spans="1:3" ht="15">
      <c r="A71" s="9" t="s">
        <v>223</v>
      </c>
      <c r="B71" s="87" t="s">
        <v>164</v>
      </c>
      <c r="C71" s="110">
        <v>2344.8424222867593</v>
      </c>
    </row>
    <row r="72" spans="1:3" ht="15">
      <c r="A72" s="9" t="s">
        <v>223</v>
      </c>
      <c r="B72" s="87" t="s">
        <v>224</v>
      </c>
      <c r="C72" s="110">
        <v>705.1521996342907</v>
      </c>
    </row>
    <row r="73" spans="1:3" ht="15">
      <c r="A73" s="9" t="s">
        <v>223</v>
      </c>
      <c r="B73" s="87" t="s">
        <v>225</v>
      </c>
      <c r="C73" s="110">
        <v>630.31085296332151</v>
      </c>
    </row>
    <row r="74" spans="1:3" ht="15">
      <c r="A74" s="9" t="s">
        <v>223</v>
      </c>
      <c r="B74" s="87" t="s">
        <v>71</v>
      </c>
      <c r="C74" s="110">
        <v>1236.0976659137357</v>
      </c>
    </row>
    <row r="75" spans="1:3" ht="13"/>
    <row r="76" spans="1:3" ht="13"/>
    <row r="77" spans="1:3" ht="13"/>
    <row r="78" spans="1:3" ht="13"/>
    <row r="79" spans="1:3" ht="13"/>
    <row r="80" spans="1:3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  <row r="147" ht="13"/>
    <row r="148" ht="13"/>
    <row r="149" ht="13"/>
    <row r="150" ht="13"/>
    <row r="151" ht="13"/>
    <row r="152" ht="13"/>
    <row r="153" ht="13"/>
    <row r="154" ht="13"/>
    <row r="155" ht="13"/>
    <row r="156" ht="13"/>
    <row r="157" ht="13"/>
    <row r="158" ht="13"/>
    <row r="159" ht="13"/>
    <row r="160" ht="13"/>
    <row r="161" ht="13"/>
    <row r="162" ht="13"/>
    <row r="163" ht="13"/>
    <row r="164" ht="13"/>
    <row r="165" ht="13"/>
    <row r="166" ht="13"/>
    <row r="167" ht="13"/>
    <row r="168" ht="13"/>
    <row r="169" ht="13"/>
    <row r="170" ht="13"/>
    <row r="171" ht="13"/>
    <row r="172" ht="13"/>
    <row r="173" ht="13"/>
    <row r="174" ht="13"/>
    <row r="175" ht="13"/>
    <row r="176" ht="13"/>
    <row r="177" ht="13"/>
    <row r="178" ht="13"/>
    <row r="179" ht="13"/>
    <row r="180" ht="13"/>
    <row r="181" ht="13"/>
    <row r="182" ht="13"/>
    <row r="183" ht="13"/>
    <row r="184" ht="13"/>
    <row r="185" ht="13"/>
    <row r="186" ht="13"/>
    <row r="187" ht="13"/>
    <row r="188" ht="13"/>
    <row r="189" ht="13"/>
    <row r="190" ht="13"/>
    <row r="191" ht="13"/>
    <row r="192" ht="13"/>
    <row r="193" ht="13"/>
    <row r="194" ht="13"/>
    <row r="195" ht="13"/>
    <row r="196" ht="13"/>
    <row r="197" ht="13"/>
    <row r="198" ht="13"/>
    <row r="199" ht="13"/>
    <row r="200" ht="13"/>
    <row r="201" ht="13"/>
    <row r="202" ht="13"/>
    <row r="203" ht="13"/>
    <row r="204" ht="13"/>
    <row r="205" ht="13"/>
    <row r="206" ht="13"/>
    <row r="207" ht="13"/>
    <row r="208" ht="13"/>
    <row r="209" ht="13"/>
    <row r="210" ht="13"/>
    <row r="211" ht="13"/>
    <row r="212" ht="13"/>
    <row r="213" ht="13"/>
    <row r="214" ht="13"/>
    <row r="215" ht="13"/>
    <row r="216" ht="13"/>
    <row r="217" ht="13"/>
    <row r="218" ht="13"/>
    <row r="219" ht="13"/>
    <row r="220" ht="13"/>
    <row r="221" ht="13"/>
    <row r="222" ht="13"/>
    <row r="223" ht="13"/>
    <row r="224" ht="13"/>
    <row r="225" ht="13"/>
    <row r="226" ht="13"/>
    <row r="227" ht="13"/>
    <row r="228" ht="13"/>
    <row r="229" ht="13"/>
    <row r="230" ht="13"/>
    <row r="231" ht="13"/>
    <row r="232" ht="13"/>
    <row r="233" ht="13"/>
    <row r="234" ht="13"/>
    <row r="235" ht="13"/>
    <row r="236" ht="13"/>
    <row r="237" ht="13"/>
    <row r="238" ht="13"/>
    <row r="239" ht="13"/>
    <row r="240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87"/>
  <sheetViews>
    <sheetView workbookViewId="0"/>
  </sheetViews>
  <sheetFormatPr baseColWidth="10" defaultColWidth="12.6640625" defaultRowHeight="15.75" customHeight="1"/>
  <cols>
    <col min="1" max="1" width="16.1640625" customWidth="1"/>
    <col min="2" max="2" width="24.83203125" customWidth="1"/>
  </cols>
  <sheetData>
    <row r="1" spans="1:26" ht="15.75" customHeight="1">
      <c r="A1" s="75" t="s">
        <v>212</v>
      </c>
      <c r="B1" s="75" t="s">
        <v>230</v>
      </c>
      <c r="C1" s="75" t="s">
        <v>231</v>
      </c>
      <c r="D1" s="90" t="s">
        <v>215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customHeight="1">
      <c r="A2" s="9" t="s">
        <v>12</v>
      </c>
      <c r="B2" s="9" t="s">
        <v>232</v>
      </c>
      <c r="C2" s="9">
        <v>573998</v>
      </c>
      <c r="D2" s="91">
        <f t="shared" ref="D2:D49" si="0">C2/90</f>
        <v>6377.7555555555555</v>
      </c>
    </row>
    <row r="3" spans="1:26" ht="15.75" customHeight="1">
      <c r="A3" s="9" t="s">
        <v>12</v>
      </c>
      <c r="B3" s="9" t="s">
        <v>233</v>
      </c>
      <c r="C3" s="9">
        <v>250329</v>
      </c>
      <c r="D3" s="91">
        <f t="shared" si="0"/>
        <v>2781.4333333333334</v>
      </c>
    </row>
    <row r="4" spans="1:26" ht="15.75" customHeight="1">
      <c r="A4" s="9" t="s">
        <v>12</v>
      </c>
      <c r="B4" s="9" t="s">
        <v>234</v>
      </c>
      <c r="C4" s="9">
        <v>133391</v>
      </c>
      <c r="D4" s="91">
        <f t="shared" si="0"/>
        <v>1482.1222222222223</v>
      </c>
    </row>
    <row r="5" spans="1:26" ht="15.75" customHeight="1">
      <c r="A5" s="9" t="s">
        <v>12</v>
      </c>
      <c r="B5" s="9" t="s">
        <v>235</v>
      </c>
      <c r="C5" s="9">
        <v>75000</v>
      </c>
      <c r="D5" s="91">
        <f t="shared" si="0"/>
        <v>833.33333333333337</v>
      </c>
    </row>
    <row r="6" spans="1:26" ht="15.75" customHeight="1">
      <c r="A6" s="9" t="s">
        <v>12</v>
      </c>
      <c r="B6" s="9" t="s">
        <v>236</v>
      </c>
      <c r="C6" s="9">
        <v>50000</v>
      </c>
      <c r="D6" s="91">
        <f t="shared" si="0"/>
        <v>555.55555555555554</v>
      </c>
    </row>
    <row r="7" spans="1:26" ht="15.75" customHeight="1">
      <c r="A7" s="9" t="s">
        <v>12</v>
      </c>
      <c r="B7" s="9" t="s">
        <v>237</v>
      </c>
      <c r="C7" s="9">
        <v>152340</v>
      </c>
      <c r="D7" s="91">
        <f t="shared" si="0"/>
        <v>1692.6666666666667</v>
      </c>
    </row>
    <row r="8" spans="1:26" ht="15.75" customHeight="1">
      <c r="A8" s="9" t="s">
        <v>11</v>
      </c>
      <c r="B8" s="35" t="s">
        <v>238</v>
      </c>
      <c r="C8" s="35">
        <v>103750</v>
      </c>
      <c r="D8" s="91">
        <f t="shared" si="0"/>
        <v>1152.7777777777778</v>
      </c>
    </row>
    <row r="9" spans="1:26" ht="15.75" customHeight="1">
      <c r="A9" s="9" t="s">
        <v>11</v>
      </c>
      <c r="B9" s="35" t="s">
        <v>239</v>
      </c>
      <c r="C9" s="35">
        <v>42303</v>
      </c>
      <c r="D9" s="91">
        <f t="shared" si="0"/>
        <v>470.03333333333336</v>
      </c>
    </row>
    <row r="10" spans="1:26" ht="15.75" customHeight="1">
      <c r="A10" s="9" t="s">
        <v>11</v>
      </c>
      <c r="B10" s="35" t="s">
        <v>240</v>
      </c>
      <c r="C10" s="35">
        <v>1500</v>
      </c>
      <c r="D10" s="91">
        <f t="shared" si="0"/>
        <v>16.666666666666668</v>
      </c>
    </row>
    <row r="11" spans="1:26" ht="15.75" customHeight="1">
      <c r="A11" s="92" t="s">
        <v>241</v>
      </c>
      <c r="B11" s="35" t="s">
        <v>242</v>
      </c>
      <c r="C11" s="35">
        <v>10000</v>
      </c>
      <c r="D11" s="91">
        <f t="shared" si="0"/>
        <v>111.11111111111111</v>
      </c>
    </row>
    <row r="12" spans="1:26" ht="15.75" customHeight="1">
      <c r="A12" s="92" t="s">
        <v>241</v>
      </c>
      <c r="B12" s="35" t="s">
        <v>243</v>
      </c>
      <c r="C12" s="35">
        <f>383684-238313</f>
        <v>145371</v>
      </c>
      <c r="D12" s="91">
        <f t="shared" si="0"/>
        <v>1615.2333333333333</v>
      </c>
    </row>
    <row r="13" spans="1:26" ht="15.75" customHeight="1">
      <c r="A13" s="92" t="s">
        <v>241</v>
      </c>
      <c r="B13" s="35" t="s">
        <v>244</v>
      </c>
      <c r="C13" s="35">
        <f>1369+1642</f>
        <v>3011</v>
      </c>
      <c r="D13" s="91">
        <f t="shared" si="0"/>
        <v>33.455555555555556</v>
      </c>
    </row>
    <row r="14" spans="1:26" ht="15.75" customHeight="1">
      <c r="A14" s="92" t="s">
        <v>241</v>
      </c>
      <c r="B14" s="35" t="s">
        <v>245</v>
      </c>
      <c r="C14" s="35">
        <v>630</v>
      </c>
      <c r="D14" s="91">
        <f t="shared" si="0"/>
        <v>7</v>
      </c>
    </row>
    <row r="15" spans="1:26" ht="15.75" customHeight="1">
      <c r="A15" s="92" t="s">
        <v>241</v>
      </c>
      <c r="B15" s="35" t="s">
        <v>246</v>
      </c>
      <c r="C15" s="36">
        <f>18006+1800+5402</f>
        <v>25208</v>
      </c>
      <c r="D15" s="91">
        <f t="shared" si="0"/>
        <v>280.0888888888889</v>
      </c>
    </row>
    <row r="16" spans="1:26" ht="15.75" customHeight="1">
      <c r="A16" s="92" t="s">
        <v>241</v>
      </c>
      <c r="B16" s="35" t="s">
        <v>247</v>
      </c>
      <c r="C16" s="36">
        <v>14404</v>
      </c>
      <c r="D16" s="91">
        <f t="shared" si="0"/>
        <v>160.04444444444445</v>
      </c>
    </row>
    <row r="17" spans="1:4" ht="15.75" customHeight="1">
      <c r="A17" s="92" t="s">
        <v>241</v>
      </c>
      <c r="B17" s="35" t="s">
        <v>248</v>
      </c>
      <c r="C17" s="36">
        <f>650</f>
        <v>650</v>
      </c>
      <c r="D17" s="91">
        <f t="shared" si="0"/>
        <v>7.2222222222222223</v>
      </c>
    </row>
    <row r="18" spans="1:4" ht="15.75" customHeight="1">
      <c r="A18" s="92" t="s">
        <v>241</v>
      </c>
      <c r="B18" s="35" t="s">
        <v>249</v>
      </c>
      <c r="C18" s="36">
        <v>7971</v>
      </c>
      <c r="D18" s="91">
        <f t="shared" si="0"/>
        <v>88.566666666666663</v>
      </c>
    </row>
    <row r="19" spans="1:4" ht="15.75" customHeight="1">
      <c r="A19" s="92" t="s">
        <v>241</v>
      </c>
      <c r="B19" s="35" t="s">
        <v>250</v>
      </c>
      <c r="C19" s="36">
        <v>2251</v>
      </c>
      <c r="D19" s="91">
        <f t="shared" si="0"/>
        <v>25.011111111111113</v>
      </c>
    </row>
    <row r="20" spans="1:4" ht="15.75" customHeight="1">
      <c r="A20" s="92" t="s">
        <v>241</v>
      </c>
      <c r="B20" s="35" t="s">
        <v>251</v>
      </c>
      <c r="C20" s="36">
        <v>6239</v>
      </c>
      <c r="D20" s="91">
        <f t="shared" si="0"/>
        <v>69.322222222222223</v>
      </c>
    </row>
    <row r="21" spans="1:4" ht="15.75" customHeight="1">
      <c r="A21" s="92" t="s">
        <v>241</v>
      </c>
      <c r="B21" s="35" t="s">
        <v>252</v>
      </c>
      <c r="C21" s="36">
        <v>5942</v>
      </c>
      <c r="D21" s="91">
        <f t="shared" si="0"/>
        <v>66.022222222222226</v>
      </c>
    </row>
    <row r="22" spans="1:4" ht="15.75" customHeight="1">
      <c r="A22" s="92" t="s">
        <v>241</v>
      </c>
      <c r="B22" s="35" t="s">
        <v>253</v>
      </c>
      <c r="C22" s="36">
        <v>6374</v>
      </c>
      <c r="D22" s="91">
        <f t="shared" si="0"/>
        <v>70.822222222222223</v>
      </c>
    </row>
    <row r="23" spans="1:4" ht="15.75" customHeight="1">
      <c r="A23" s="92" t="s">
        <v>241</v>
      </c>
      <c r="B23" s="35" t="s">
        <v>254</v>
      </c>
      <c r="C23" s="36">
        <f>21607+86985</f>
        <v>108592</v>
      </c>
      <c r="D23" s="91">
        <f t="shared" si="0"/>
        <v>1206.5777777777778</v>
      </c>
    </row>
    <row r="24" spans="1:4" ht="15.75" customHeight="1">
      <c r="A24" s="92" t="s">
        <v>241</v>
      </c>
      <c r="B24" s="93" t="s">
        <v>255</v>
      </c>
      <c r="C24" s="35">
        <v>2061</v>
      </c>
      <c r="D24" s="91">
        <f t="shared" si="0"/>
        <v>22.9</v>
      </c>
    </row>
    <row r="25" spans="1:4" ht="15.75" customHeight="1">
      <c r="A25" s="92" t="s">
        <v>241</v>
      </c>
      <c r="B25" s="35" t="s">
        <v>256</v>
      </c>
      <c r="C25" s="35">
        <f>1710+1710</f>
        <v>3420</v>
      </c>
      <c r="D25" s="91">
        <f t="shared" si="0"/>
        <v>38</v>
      </c>
    </row>
    <row r="26" spans="1:4" ht="15.75" customHeight="1">
      <c r="A26" s="92" t="s">
        <v>15</v>
      </c>
      <c r="B26" s="35" t="s">
        <v>257</v>
      </c>
      <c r="C26" s="35">
        <v>54280</v>
      </c>
      <c r="D26" s="91">
        <f t="shared" si="0"/>
        <v>603.11111111111109</v>
      </c>
    </row>
    <row r="27" spans="1:4" ht="15.75" customHeight="1">
      <c r="A27" s="92" t="s">
        <v>15</v>
      </c>
      <c r="B27" s="35" t="s">
        <v>258</v>
      </c>
      <c r="C27" s="36">
        <v>676</v>
      </c>
      <c r="D27" s="91">
        <f t="shared" si="0"/>
        <v>7.5111111111111111</v>
      </c>
    </row>
    <row r="28" spans="1:4" ht="15.75" customHeight="1">
      <c r="A28" s="92" t="s">
        <v>15</v>
      </c>
      <c r="B28" s="35" t="s">
        <v>259</v>
      </c>
      <c r="C28" s="36">
        <f>720+720</f>
        <v>1440</v>
      </c>
      <c r="D28" s="91">
        <f t="shared" si="0"/>
        <v>16</v>
      </c>
    </row>
    <row r="29" spans="1:4" ht="15.75" customHeight="1">
      <c r="A29" s="94" t="s">
        <v>260</v>
      </c>
      <c r="B29" s="35" t="s">
        <v>115</v>
      </c>
      <c r="C29" s="36">
        <f>450150-264982</f>
        <v>185168</v>
      </c>
      <c r="D29" s="91">
        <f t="shared" si="0"/>
        <v>2057.4222222222224</v>
      </c>
    </row>
    <row r="30" spans="1:4" ht="15.75" customHeight="1">
      <c r="A30" s="94" t="s">
        <v>260</v>
      </c>
      <c r="B30" s="35" t="s">
        <v>117</v>
      </c>
      <c r="C30" s="36">
        <f>176369</f>
        <v>176369</v>
      </c>
      <c r="D30" s="91">
        <f t="shared" si="0"/>
        <v>1959.6555555555556</v>
      </c>
    </row>
    <row r="31" spans="1:4" ht="15.75" customHeight="1">
      <c r="A31" s="9" t="s">
        <v>13</v>
      </c>
      <c r="B31" s="35" t="s">
        <v>261</v>
      </c>
      <c r="C31" s="33">
        <v>21175</v>
      </c>
      <c r="D31" s="91">
        <f t="shared" si="0"/>
        <v>235.27777777777777</v>
      </c>
    </row>
    <row r="32" spans="1:4" ht="15.75" customHeight="1">
      <c r="A32" s="9" t="s">
        <v>13</v>
      </c>
      <c r="B32" s="35" t="s">
        <v>262</v>
      </c>
      <c r="C32" s="36">
        <v>36750</v>
      </c>
      <c r="D32" s="91">
        <f t="shared" si="0"/>
        <v>408.33333333333331</v>
      </c>
    </row>
    <row r="33" spans="1:4" ht="15.75" customHeight="1">
      <c r="A33" s="9" t="s">
        <v>13</v>
      </c>
      <c r="B33" s="35" t="s">
        <v>263</v>
      </c>
      <c r="C33" s="36">
        <v>146324</v>
      </c>
      <c r="D33" s="91">
        <f t="shared" si="0"/>
        <v>1625.8222222222223</v>
      </c>
    </row>
    <row r="34" spans="1:4" ht="15.75" customHeight="1">
      <c r="A34" s="9" t="s">
        <v>13</v>
      </c>
      <c r="B34" s="35" t="s">
        <v>264</v>
      </c>
      <c r="C34" s="36">
        <v>279589</v>
      </c>
      <c r="D34" s="91">
        <f t="shared" si="0"/>
        <v>3106.5444444444443</v>
      </c>
    </row>
    <row r="35" spans="1:4" ht="15.75" customHeight="1">
      <c r="A35" s="92" t="s">
        <v>14</v>
      </c>
      <c r="B35" s="35" t="s">
        <v>265</v>
      </c>
      <c r="C35" s="36">
        <v>19845</v>
      </c>
      <c r="D35" s="91">
        <f t="shared" si="0"/>
        <v>220.5</v>
      </c>
    </row>
    <row r="36" spans="1:4" ht="15.75" customHeight="1">
      <c r="A36" s="92" t="s">
        <v>14</v>
      </c>
      <c r="B36" s="35" t="s">
        <v>266</v>
      </c>
      <c r="C36" s="36">
        <v>11000</v>
      </c>
      <c r="D36" s="91">
        <f t="shared" si="0"/>
        <v>122.22222222222223</v>
      </c>
    </row>
    <row r="37" spans="1:4" ht="15.75" customHeight="1">
      <c r="A37" s="92" t="s">
        <v>14</v>
      </c>
      <c r="B37" s="35" t="s">
        <v>267</v>
      </c>
      <c r="C37" s="36">
        <v>2000</v>
      </c>
      <c r="D37" s="91">
        <f t="shared" si="0"/>
        <v>22.222222222222221</v>
      </c>
    </row>
    <row r="38" spans="1:4" ht="15.75" customHeight="1">
      <c r="A38" s="92" t="s">
        <v>14</v>
      </c>
      <c r="B38" s="35" t="s">
        <v>268</v>
      </c>
      <c r="C38" s="36">
        <v>15000</v>
      </c>
      <c r="D38" s="91">
        <f t="shared" si="0"/>
        <v>166.66666666666666</v>
      </c>
    </row>
    <row r="39" spans="1:4" ht="15.75" customHeight="1">
      <c r="A39" s="92" t="s">
        <v>14</v>
      </c>
      <c r="B39" s="35" t="s">
        <v>269</v>
      </c>
      <c r="C39" s="36">
        <v>11000</v>
      </c>
      <c r="D39" s="91">
        <f t="shared" si="0"/>
        <v>122.22222222222223</v>
      </c>
    </row>
    <row r="40" spans="1:4" ht="15.75" customHeight="1">
      <c r="A40" s="92" t="s">
        <v>14</v>
      </c>
      <c r="B40" s="35" t="s">
        <v>263</v>
      </c>
      <c r="C40" s="36">
        <v>26375</v>
      </c>
      <c r="D40" s="91">
        <f t="shared" si="0"/>
        <v>293.05555555555554</v>
      </c>
    </row>
    <row r="41" spans="1:4" ht="15.75" customHeight="1">
      <c r="A41" s="92" t="s">
        <v>14</v>
      </c>
      <c r="B41" s="35" t="s">
        <v>270</v>
      </c>
      <c r="C41" s="36">
        <f>35531+1319+2501</f>
        <v>39351</v>
      </c>
      <c r="D41" s="91">
        <f t="shared" si="0"/>
        <v>437.23333333333335</v>
      </c>
    </row>
    <row r="42" spans="1:4" ht="15.75" customHeight="1">
      <c r="A42" s="95" t="s">
        <v>271</v>
      </c>
      <c r="B42" s="35" t="s">
        <v>272</v>
      </c>
      <c r="C42" s="36">
        <v>489000</v>
      </c>
      <c r="D42" s="91">
        <f t="shared" si="0"/>
        <v>5433.333333333333</v>
      </c>
    </row>
    <row r="43" spans="1:4" ht="15.75" customHeight="1">
      <c r="A43" s="95" t="s">
        <v>273</v>
      </c>
      <c r="B43" s="35" t="s">
        <v>274</v>
      </c>
      <c r="C43" s="36">
        <f>1750+1350</f>
        <v>3100</v>
      </c>
      <c r="D43" s="91">
        <f t="shared" si="0"/>
        <v>34.444444444444443</v>
      </c>
    </row>
    <row r="44" spans="1:4" ht="15.75" customHeight="1">
      <c r="A44" s="95" t="s">
        <v>273</v>
      </c>
      <c r="B44" s="35" t="s">
        <v>275</v>
      </c>
      <c r="C44" s="36">
        <f>500+500+500+500+1000</f>
        <v>3000</v>
      </c>
      <c r="D44" s="91">
        <f t="shared" si="0"/>
        <v>33.333333333333336</v>
      </c>
    </row>
    <row r="45" spans="1:4" ht="15.75" customHeight="1">
      <c r="A45" s="95" t="s">
        <v>273</v>
      </c>
      <c r="B45" s="35" t="s">
        <v>276</v>
      </c>
      <c r="C45" s="36">
        <f>129+1416</f>
        <v>1545</v>
      </c>
      <c r="D45" s="91">
        <f t="shared" si="0"/>
        <v>17.166666666666668</v>
      </c>
    </row>
    <row r="46" spans="1:4" ht="15.75" customHeight="1">
      <c r="A46" s="95" t="s">
        <v>273</v>
      </c>
      <c r="B46" s="35" t="s">
        <v>277</v>
      </c>
      <c r="C46" s="36">
        <v>5949</v>
      </c>
      <c r="D46" s="91">
        <f t="shared" si="0"/>
        <v>66.099999999999994</v>
      </c>
    </row>
    <row r="47" spans="1:4" ht="15.75" customHeight="1">
      <c r="A47" s="92" t="s">
        <v>93</v>
      </c>
      <c r="B47" s="35" t="s">
        <v>278</v>
      </c>
      <c r="C47" s="35">
        <v>242631</v>
      </c>
      <c r="D47" s="91">
        <f t="shared" si="0"/>
        <v>2695.9</v>
      </c>
    </row>
    <row r="48" spans="1:4" ht="15.75" customHeight="1">
      <c r="A48" s="92" t="s">
        <v>93</v>
      </c>
      <c r="B48" s="35" t="s">
        <v>279</v>
      </c>
      <c r="C48" s="35">
        <v>40514</v>
      </c>
      <c r="D48" s="91">
        <f t="shared" si="0"/>
        <v>450.15555555555557</v>
      </c>
    </row>
    <row r="49" spans="1:4" ht="15.75" customHeight="1">
      <c r="A49" s="95" t="s">
        <v>273</v>
      </c>
      <c r="B49" s="35" t="s">
        <v>280</v>
      </c>
      <c r="C49" s="35">
        <v>6968</v>
      </c>
      <c r="D49" s="91">
        <f t="shared" si="0"/>
        <v>77.422222222222217</v>
      </c>
    </row>
    <row r="50" spans="1:4" ht="13">
      <c r="D50" s="91"/>
    </row>
    <row r="51" spans="1:4" ht="13">
      <c r="D51" s="91"/>
    </row>
    <row r="52" spans="1:4" ht="13">
      <c r="D52" s="91"/>
    </row>
    <row r="53" spans="1:4" ht="13">
      <c r="D53" s="91"/>
    </row>
    <row r="54" spans="1:4" ht="13">
      <c r="D54" s="91"/>
    </row>
    <row r="55" spans="1:4" ht="13">
      <c r="D55" s="91"/>
    </row>
    <row r="56" spans="1:4" ht="13">
      <c r="D56" s="91"/>
    </row>
    <row r="57" spans="1:4" ht="13">
      <c r="D57" s="91"/>
    </row>
    <row r="58" spans="1:4" ht="13">
      <c r="D58" s="91"/>
    </row>
    <row r="59" spans="1:4" ht="13">
      <c r="D59" s="91"/>
    </row>
    <row r="60" spans="1:4" ht="13">
      <c r="D60" s="91"/>
    </row>
    <row r="61" spans="1:4" ht="13">
      <c r="D61" s="91"/>
    </row>
    <row r="62" spans="1:4" ht="13">
      <c r="D62" s="91"/>
    </row>
    <row r="63" spans="1:4" ht="13">
      <c r="D63" s="91"/>
    </row>
    <row r="64" spans="1:4" ht="13">
      <c r="D64" s="91"/>
    </row>
    <row r="65" spans="4:4" ht="13">
      <c r="D65" s="91"/>
    </row>
    <row r="66" spans="4:4" ht="13">
      <c r="D66" s="91"/>
    </row>
    <row r="67" spans="4:4" ht="13">
      <c r="D67" s="91"/>
    </row>
    <row r="68" spans="4:4" ht="13">
      <c r="D68" s="91"/>
    </row>
    <row r="69" spans="4:4" ht="13">
      <c r="D69" s="91"/>
    </row>
    <row r="70" spans="4:4" ht="13">
      <c r="D70" s="91"/>
    </row>
    <row r="71" spans="4:4" ht="13">
      <c r="D71" s="91"/>
    </row>
    <row r="72" spans="4:4" ht="13">
      <c r="D72" s="91"/>
    </row>
    <row r="73" spans="4:4" ht="13">
      <c r="D73" s="91"/>
    </row>
    <row r="74" spans="4:4" ht="13">
      <c r="D74" s="91"/>
    </row>
    <row r="75" spans="4:4" ht="13">
      <c r="D75" s="91"/>
    </row>
    <row r="76" spans="4:4" ht="13">
      <c r="D76" s="91"/>
    </row>
    <row r="77" spans="4:4" ht="13">
      <c r="D77" s="91"/>
    </row>
    <row r="78" spans="4:4" ht="13">
      <c r="D78" s="91"/>
    </row>
    <row r="79" spans="4:4" ht="13">
      <c r="D79" s="91"/>
    </row>
    <row r="80" spans="4:4" ht="13">
      <c r="D80" s="91"/>
    </row>
    <row r="81" spans="4:4" ht="13">
      <c r="D81" s="91"/>
    </row>
    <row r="82" spans="4:4" ht="13">
      <c r="D82" s="91"/>
    </row>
    <row r="83" spans="4:4" ht="13">
      <c r="D83" s="91"/>
    </row>
    <row r="84" spans="4:4" ht="13">
      <c r="D84" s="91"/>
    </row>
    <row r="85" spans="4:4" ht="13">
      <c r="D85" s="91"/>
    </row>
    <row r="86" spans="4:4" ht="13">
      <c r="D86" s="91"/>
    </row>
    <row r="87" spans="4:4" ht="13">
      <c r="D87" s="91"/>
    </row>
    <row r="88" spans="4:4" ht="13">
      <c r="D88" s="91"/>
    </row>
    <row r="89" spans="4:4" ht="13">
      <c r="D89" s="91"/>
    </row>
    <row r="90" spans="4:4" ht="13">
      <c r="D90" s="91"/>
    </row>
    <row r="91" spans="4:4" ht="13">
      <c r="D91" s="91"/>
    </row>
    <row r="92" spans="4:4" ht="13">
      <c r="D92" s="91"/>
    </row>
    <row r="93" spans="4:4" ht="13">
      <c r="D93" s="91"/>
    </row>
    <row r="94" spans="4:4" ht="13">
      <c r="D94" s="91"/>
    </row>
    <row r="95" spans="4:4" ht="13">
      <c r="D95" s="91"/>
    </row>
    <row r="96" spans="4:4" ht="13">
      <c r="D96" s="91"/>
    </row>
    <row r="97" spans="4:4" ht="13">
      <c r="D97" s="91"/>
    </row>
    <row r="98" spans="4:4" ht="13">
      <c r="D98" s="91"/>
    </row>
    <row r="99" spans="4:4" ht="13">
      <c r="D99" s="91"/>
    </row>
    <row r="100" spans="4:4" ht="13">
      <c r="D100" s="91"/>
    </row>
    <row r="101" spans="4:4" ht="13">
      <c r="D101" s="91"/>
    </row>
    <row r="102" spans="4:4" ht="13">
      <c r="D102" s="91"/>
    </row>
    <row r="103" spans="4:4" ht="13">
      <c r="D103" s="91"/>
    </row>
    <row r="104" spans="4:4" ht="13">
      <c r="D104" s="91"/>
    </row>
    <row r="105" spans="4:4" ht="13">
      <c r="D105" s="91"/>
    </row>
    <row r="106" spans="4:4" ht="13">
      <c r="D106" s="91"/>
    </row>
    <row r="107" spans="4:4" ht="13">
      <c r="D107" s="91"/>
    </row>
    <row r="108" spans="4:4" ht="13">
      <c r="D108" s="91"/>
    </row>
    <row r="109" spans="4:4" ht="13">
      <c r="D109" s="91"/>
    </row>
    <row r="110" spans="4:4" ht="13">
      <c r="D110" s="91"/>
    </row>
    <row r="111" spans="4:4" ht="13">
      <c r="D111" s="91"/>
    </row>
    <row r="112" spans="4:4" ht="13">
      <c r="D112" s="91"/>
    </row>
    <row r="113" spans="4:4" ht="13">
      <c r="D113" s="91"/>
    </row>
    <row r="114" spans="4:4" ht="13">
      <c r="D114" s="91"/>
    </row>
    <row r="115" spans="4:4" ht="13">
      <c r="D115" s="91"/>
    </row>
    <row r="116" spans="4:4" ht="13">
      <c r="D116" s="91"/>
    </row>
    <row r="117" spans="4:4" ht="13">
      <c r="D117" s="91"/>
    </row>
    <row r="118" spans="4:4" ht="13">
      <c r="D118" s="91"/>
    </row>
    <row r="119" spans="4:4" ht="13">
      <c r="D119" s="91"/>
    </row>
    <row r="120" spans="4:4" ht="13">
      <c r="D120" s="91"/>
    </row>
    <row r="121" spans="4:4" ht="13">
      <c r="D121" s="91"/>
    </row>
    <row r="122" spans="4:4" ht="13">
      <c r="D122" s="91"/>
    </row>
    <row r="123" spans="4:4" ht="13">
      <c r="D123" s="91"/>
    </row>
    <row r="124" spans="4:4" ht="13">
      <c r="D124" s="91"/>
    </row>
    <row r="125" spans="4:4" ht="13">
      <c r="D125" s="91"/>
    </row>
    <row r="126" spans="4:4" ht="13">
      <c r="D126" s="91"/>
    </row>
    <row r="127" spans="4:4" ht="13">
      <c r="D127" s="91"/>
    </row>
    <row r="128" spans="4:4" ht="13">
      <c r="D128" s="91"/>
    </row>
    <row r="129" spans="4:4" ht="13">
      <c r="D129" s="91"/>
    </row>
    <row r="130" spans="4:4" ht="13">
      <c r="D130" s="91"/>
    </row>
    <row r="131" spans="4:4" ht="13">
      <c r="D131" s="91"/>
    </row>
    <row r="132" spans="4:4" ht="13">
      <c r="D132" s="91"/>
    </row>
    <row r="133" spans="4:4" ht="13">
      <c r="D133" s="91"/>
    </row>
    <row r="134" spans="4:4" ht="13">
      <c r="D134" s="91"/>
    </row>
    <row r="135" spans="4:4" ht="13">
      <c r="D135" s="91"/>
    </row>
    <row r="136" spans="4:4" ht="13">
      <c r="D136" s="91"/>
    </row>
    <row r="137" spans="4:4" ht="13">
      <c r="D137" s="91"/>
    </row>
    <row r="138" spans="4:4" ht="13">
      <c r="D138" s="91"/>
    </row>
    <row r="139" spans="4:4" ht="13">
      <c r="D139" s="91"/>
    </row>
    <row r="140" spans="4:4" ht="13">
      <c r="D140" s="91"/>
    </row>
    <row r="141" spans="4:4" ht="13">
      <c r="D141" s="91"/>
    </row>
    <row r="142" spans="4:4" ht="13">
      <c r="D142" s="91"/>
    </row>
    <row r="143" spans="4:4" ht="13">
      <c r="D143" s="91"/>
    </row>
    <row r="144" spans="4:4" ht="13">
      <c r="D144" s="91"/>
    </row>
    <row r="145" spans="4:4" ht="13">
      <c r="D145" s="91"/>
    </row>
    <row r="146" spans="4:4" ht="13">
      <c r="D146" s="91"/>
    </row>
    <row r="147" spans="4:4" ht="13">
      <c r="D147" s="91"/>
    </row>
    <row r="148" spans="4:4" ht="13">
      <c r="D148" s="91"/>
    </row>
    <row r="149" spans="4:4" ht="13">
      <c r="D149" s="91"/>
    </row>
    <row r="150" spans="4:4" ht="13">
      <c r="D150" s="91"/>
    </row>
    <row r="151" spans="4:4" ht="13">
      <c r="D151" s="91"/>
    </row>
    <row r="152" spans="4:4" ht="13">
      <c r="D152" s="91"/>
    </row>
    <row r="153" spans="4:4" ht="13">
      <c r="D153" s="91"/>
    </row>
    <row r="154" spans="4:4" ht="13">
      <c r="D154" s="91"/>
    </row>
    <row r="155" spans="4:4" ht="13">
      <c r="D155" s="91"/>
    </row>
    <row r="156" spans="4:4" ht="13">
      <c r="D156" s="91"/>
    </row>
    <row r="157" spans="4:4" ht="13">
      <c r="D157" s="91"/>
    </row>
    <row r="158" spans="4:4" ht="13">
      <c r="D158" s="91"/>
    </row>
    <row r="159" spans="4:4" ht="13">
      <c r="D159" s="91"/>
    </row>
    <row r="160" spans="4:4" ht="13">
      <c r="D160" s="91"/>
    </row>
    <row r="161" spans="4:4" ht="13">
      <c r="D161" s="91"/>
    </row>
    <row r="162" spans="4:4" ht="13">
      <c r="D162" s="91"/>
    </row>
    <row r="163" spans="4:4" ht="13">
      <c r="D163" s="91"/>
    </row>
    <row r="164" spans="4:4" ht="13">
      <c r="D164" s="91"/>
    </row>
    <row r="165" spans="4:4" ht="13">
      <c r="D165" s="91"/>
    </row>
    <row r="166" spans="4:4" ht="13">
      <c r="D166" s="91"/>
    </row>
    <row r="167" spans="4:4" ht="13">
      <c r="D167" s="91"/>
    </row>
    <row r="168" spans="4:4" ht="13">
      <c r="D168" s="91"/>
    </row>
    <row r="169" spans="4:4" ht="13">
      <c r="D169" s="91"/>
    </row>
    <row r="170" spans="4:4" ht="13">
      <c r="D170" s="91"/>
    </row>
    <row r="171" spans="4:4" ht="13">
      <c r="D171" s="91"/>
    </row>
    <row r="172" spans="4:4" ht="13">
      <c r="D172" s="91"/>
    </row>
    <row r="173" spans="4:4" ht="13">
      <c r="D173" s="91"/>
    </row>
    <row r="174" spans="4:4" ht="13">
      <c r="D174" s="91"/>
    </row>
    <row r="175" spans="4:4" ht="13">
      <c r="D175" s="91"/>
    </row>
    <row r="176" spans="4:4" ht="13">
      <c r="D176" s="91"/>
    </row>
    <row r="177" spans="4:4" ht="13">
      <c r="D177" s="91"/>
    </row>
    <row r="178" spans="4:4" ht="13">
      <c r="D178" s="91"/>
    </row>
    <row r="179" spans="4:4" ht="13">
      <c r="D179" s="91"/>
    </row>
    <row r="180" spans="4:4" ht="13">
      <c r="D180" s="91"/>
    </row>
    <row r="181" spans="4:4" ht="13">
      <c r="D181" s="91"/>
    </row>
    <row r="182" spans="4:4" ht="13">
      <c r="D182" s="91"/>
    </row>
    <row r="183" spans="4:4" ht="13">
      <c r="D183" s="91"/>
    </row>
    <row r="184" spans="4:4" ht="13">
      <c r="D184" s="91"/>
    </row>
    <row r="185" spans="4:4" ht="13">
      <c r="D185" s="91"/>
    </row>
    <row r="186" spans="4:4" ht="13">
      <c r="D186" s="91"/>
    </row>
    <row r="187" spans="4:4" ht="13">
      <c r="D187" s="91"/>
    </row>
    <row r="188" spans="4:4" ht="13">
      <c r="D188" s="91"/>
    </row>
    <row r="189" spans="4:4" ht="13">
      <c r="D189" s="91"/>
    </row>
    <row r="190" spans="4:4" ht="13">
      <c r="D190" s="91"/>
    </row>
    <row r="191" spans="4:4" ht="13">
      <c r="D191" s="91"/>
    </row>
    <row r="192" spans="4:4" ht="13">
      <c r="D192" s="91"/>
    </row>
    <row r="193" spans="4:4" ht="13">
      <c r="D193" s="91"/>
    </row>
    <row r="194" spans="4:4" ht="13">
      <c r="D194" s="91"/>
    </row>
    <row r="195" spans="4:4" ht="13">
      <c r="D195" s="91"/>
    </row>
    <row r="196" spans="4:4" ht="13">
      <c r="D196" s="91"/>
    </row>
    <row r="197" spans="4:4" ht="13">
      <c r="D197" s="91"/>
    </row>
    <row r="198" spans="4:4" ht="13">
      <c r="D198" s="91"/>
    </row>
    <row r="199" spans="4:4" ht="13">
      <c r="D199" s="91"/>
    </row>
    <row r="200" spans="4:4" ht="13">
      <c r="D200" s="91"/>
    </row>
    <row r="201" spans="4:4" ht="13">
      <c r="D201" s="91"/>
    </row>
    <row r="202" spans="4:4" ht="13">
      <c r="D202" s="91"/>
    </row>
    <row r="203" spans="4:4" ht="13">
      <c r="D203" s="91"/>
    </row>
    <row r="204" spans="4:4" ht="13">
      <c r="D204" s="91"/>
    </row>
    <row r="205" spans="4:4" ht="13">
      <c r="D205" s="91"/>
    </row>
    <row r="206" spans="4:4" ht="13">
      <c r="D206" s="91"/>
    </row>
    <row r="207" spans="4:4" ht="13">
      <c r="D207" s="91"/>
    </row>
    <row r="208" spans="4:4" ht="13">
      <c r="D208" s="91"/>
    </row>
    <row r="209" spans="4:4" ht="13">
      <c r="D209" s="91"/>
    </row>
    <row r="210" spans="4:4" ht="13">
      <c r="D210" s="91"/>
    </row>
    <row r="211" spans="4:4" ht="13">
      <c r="D211" s="91"/>
    </row>
    <row r="212" spans="4:4" ht="13">
      <c r="D212" s="91"/>
    </row>
    <row r="213" spans="4:4" ht="13">
      <c r="D213" s="91"/>
    </row>
    <row r="214" spans="4:4" ht="13">
      <c r="D214" s="91"/>
    </row>
    <row r="215" spans="4:4" ht="13">
      <c r="D215" s="91"/>
    </row>
    <row r="216" spans="4:4" ht="13">
      <c r="D216" s="91"/>
    </row>
    <row r="217" spans="4:4" ht="13">
      <c r="D217" s="91"/>
    </row>
    <row r="218" spans="4:4" ht="13">
      <c r="D218" s="91"/>
    </row>
    <row r="219" spans="4:4" ht="13">
      <c r="D219" s="91"/>
    </row>
    <row r="220" spans="4:4" ht="13">
      <c r="D220" s="91"/>
    </row>
    <row r="221" spans="4:4" ht="13">
      <c r="D221" s="91"/>
    </row>
    <row r="222" spans="4:4" ht="13">
      <c r="D222" s="91"/>
    </row>
    <row r="223" spans="4:4" ht="13">
      <c r="D223" s="91"/>
    </row>
    <row r="224" spans="4:4" ht="13">
      <c r="D224" s="91"/>
    </row>
    <row r="225" spans="4:4" ht="13">
      <c r="D225" s="91"/>
    </row>
    <row r="226" spans="4:4" ht="13">
      <c r="D226" s="91"/>
    </row>
    <row r="227" spans="4:4" ht="13">
      <c r="D227" s="91"/>
    </row>
    <row r="228" spans="4:4" ht="13">
      <c r="D228" s="91"/>
    </row>
    <row r="229" spans="4:4" ht="13">
      <c r="D229" s="91"/>
    </row>
    <row r="230" spans="4:4" ht="13">
      <c r="D230" s="91"/>
    </row>
    <row r="231" spans="4:4" ht="13">
      <c r="D231" s="91"/>
    </row>
    <row r="232" spans="4:4" ht="13">
      <c r="D232" s="91"/>
    </row>
    <row r="233" spans="4:4" ht="13">
      <c r="D233" s="91"/>
    </row>
    <row r="234" spans="4:4" ht="13">
      <c r="D234" s="91"/>
    </row>
    <row r="235" spans="4:4" ht="13">
      <c r="D235" s="91"/>
    </row>
    <row r="236" spans="4:4" ht="13">
      <c r="D236" s="91"/>
    </row>
    <row r="237" spans="4:4" ht="13">
      <c r="D237" s="91"/>
    </row>
    <row r="238" spans="4:4" ht="13">
      <c r="D238" s="91"/>
    </row>
    <row r="239" spans="4:4" ht="13">
      <c r="D239" s="91"/>
    </row>
    <row r="240" spans="4:4" ht="13">
      <c r="D240" s="91"/>
    </row>
    <row r="241" spans="4:4" ht="13">
      <c r="D241" s="91"/>
    </row>
    <row r="242" spans="4:4" ht="13">
      <c r="D242" s="91"/>
    </row>
    <row r="243" spans="4:4" ht="13">
      <c r="D243" s="91"/>
    </row>
    <row r="244" spans="4:4" ht="13">
      <c r="D244" s="91"/>
    </row>
    <row r="245" spans="4:4" ht="13">
      <c r="D245" s="91"/>
    </row>
    <row r="246" spans="4:4" ht="13">
      <c r="D246" s="91"/>
    </row>
    <row r="247" spans="4:4" ht="13">
      <c r="D247" s="91"/>
    </row>
    <row r="248" spans="4:4" ht="13">
      <c r="D248" s="91"/>
    </row>
    <row r="249" spans="4:4" ht="13">
      <c r="D249" s="91"/>
    </row>
    <row r="250" spans="4:4" ht="13">
      <c r="D250" s="91"/>
    </row>
    <row r="251" spans="4:4" ht="13">
      <c r="D251" s="91"/>
    </row>
    <row r="252" spans="4:4" ht="13">
      <c r="D252" s="91"/>
    </row>
    <row r="253" spans="4:4" ht="13">
      <c r="D253" s="91"/>
    </row>
    <row r="254" spans="4:4" ht="13">
      <c r="D254" s="91"/>
    </row>
    <row r="255" spans="4:4" ht="13">
      <c r="D255" s="91"/>
    </row>
    <row r="256" spans="4:4" ht="13">
      <c r="D256" s="91"/>
    </row>
    <row r="257" spans="4:4" ht="13">
      <c r="D257" s="91"/>
    </row>
    <row r="258" spans="4:4" ht="13">
      <c r="D258" s="91"/>
    </row>
    <row r="259" spans="4:4" ht="13">
      <c r="D259" s="91"/>
    </row>
    <row r="260" spans="4:4" ht="13">
      <c r="D260" s="91"/>
    </row>
    <row r="261" spans="4:4" ht="13">
      <c r="D261" s="91"/>
    </row>
    <row r="262" spans="4:4" ht="13">
      <c r="D262" s="91"/>
    </row>
    <row r="263" spans="4:4" ht="13">
      <c r="D263" s="91"/>
    </row>
    <row r="264" spans="4:4" ht="13">
      <c r="D264" s="91"/>
    </row>
    <row r="265" spans="4:4" ht="13">
      <c r="D265" s="91"/>
    </row>
    <row r="266" spans="4:4" ht="13">
      <c r="D266" s="91"/>
    </row>
    <row r="267" spans="4:4" ht="13">
      <c r="D267" s="91"/>
    </row>
    <row r="268" spans="4:4" ht="13">
      <c r="D268" s="91"/>
    </row>
    <row r="269" spans="4:4" ht="13">
      <c r="D269" s="91"/>
    </row>
    <row r="270" spans="4:4" ht="13">
      <c r="D270" s="91"/>
    </row>
    <row r="271" spans="4:4" ht="13">
      <c r="D271" s="91"/>
    </row>
    <row r="272" spans="4:4" ht="13">
      <c r="D272" s="91"/>
    </row>
    <row r="273" spans="4:4" ht="13">
      <c r="D273" s="91"/>
    </row>
    <row r="274" spans="4:4" ht="13">
      <c r="D274" s="91"/>
    </row>
    <row r="275" spans="4:4" ht="13">
      <c r="D275" s="91"/>
    </row>
    <row r="276" spans="4:4" ht="13">
      <c r="D276" s="91"/>
    </row>
    <row r="277" spans="4:4" ht="13">
      <c r="D277" s="91"/>
    </row>
    <row r="278" spans="4:4" ht="13">
      <c r="D278" s="91"/>
    </row>
    <row r="279" spans="4:4" ht="13">
      <c r="D279" s="91"/>
    </row>
    <row r="280" spans="4:4" ht="13">
      <c r="D280" s="91"/>
    </row>
    <row r="281" spans="4:4" ht="13">
      <c r="D281" s="91"/>
    </row>
    <row r="282" spans="4:4" ht="13">
      <c r="D282" s="91"/>
    </row>
    <row r="283" spans="4:4" ht="13">
      <c r="D283" s="91"/>
    </row>
    <row r="284" spans="4:4" ht="13">
      <c r="D284" s="91"/>
    </row>
    <row r="285" spans="4:4" ht="13">
      <c r="D285" s="91"/>
    </row>
    <row r="286" spans="4:4" ht="13">
      <c r="D286" s="91"/>
    </row>
    <row r="287" spans="4:4" ht="13">
      <c r="D287" s="91"/>
    </row>
    <row r="288" spans="4:4" ht="13">
      <c r="D288" s="91"/>
    </row>
    <row r="289" spans="4:4" ht="13">
      <c r="D289" s="91"/>
    </row>
    <row r="290" spans="4:4" ht="13">
      <c r="D290" s="91"/>
    </row>
    <row r="291" spans="4:4" ht="13">
      <c r="D291" s="91"/>
    </row>
    <row r="292" spans="4:4" ht="13">
      <c r="D292" s="91"/>
    </row>
    <row r="293" spans="4:4" ht="13">
      <c r="D293" s="91"/>
    </row>
    <row r="294" spans="4:4" ht="13">
      <c r="D294" s="91"/>
    </row>
    <row r="295" spans="4:4" ht="13">
      <c r="D295" s="91"/>
    </row>
    <row r="296" spans="4:4" ht="13">
      <c r="D296" s="91"/>
    </row>
    <row r="297" spans="4:4" ht="13">
      <c r="D297" s="91"/>
    </row>
    <row r="298" spans="4:4" ht="13">
      <c r="D298" s="91"/>
    </row>
    <row r="299" spans="4:4" ht="13">
      <c r="D299" s="91"/>
    </row>
    <row r="300" spans="4:4" ht="13">
      <c r="D300" s="91"/>
    </row>
    <row r="301" spans="4:4" ht="13">
      <c r="D301" s="91"/>
    </row>
    <row r="302" spans="4:4" ht="13">
      <c r="D302" s="91"/>
    </row>
    <row r="303" spans="4:4" ht="13">
      <c r="D303" s="91"/>
    </row>
    <row r="304" spans="4:4" ht="13">
      <c r="D304" s="91"/>
    </row>
    <row r="305" spans="4:4" ht="13">
      <c r="D305" s="91"/>
    </row>
    <row r="306" spans="4:4" ht="13">
      <c r="D306" s="91"/>
    </row>
    <row r="307" spans="4:4" ht="13">
      <c r="D307" s="91"/>
    </row>
    <row r="308" spans="4:4" ht="13">
      <c r="D308" s="91"/>
    </row>
    <row r="309" spans="4:4" ht="13">
      <c r="D309" s="91"/>
    </row>
    <row r="310" spans="4:4" ht="13">
      <c r="D310" s="91"/>
    </row>
    <row r="311" spans="4:4" ht="13">
      <c r="D311" s="91"/>
    </row>
    <row r="312" spans="4:4" ht="13">
      <c r="D312" s="91"/>
    </row>
    <row r="313" spans="4:4" ht="13">
      <c r="D313" s="91"/>
    </row>
    <row r="314" spans="4:4" ht="13">
      <c r="D314" s="91"/>
    </row>
    <row r="315" spans="4:4" ht="13">
      <c r="D315" s="91"/>
    </row>
    <row r="316" spans="4:4" ht="13">
      <c r="D316" s="91"/>
    </row>
    <row r="317" spans="4:4" ht="13">
      <c r="D317" s="91"/>
    </row>
    <row r="318" spans="4:4" ht="13">
      <c r="D318" s="91"/>
    </row>
    <row r="319" spans="4:4" ht="13">
      <c r="D319" s="91"/>
    </row>
    <row r="320" spans="4:4" ht="13">
      <c r="D320" s="91"/>
    </row>
    <row r="321" spans="4:4" ht="13">
      <c r="D321" s="91"/>
    </row>
    <row r="322" spans="4:4" ht="13">
      <c r="D322" s="91"/>
    </row>
    <row r="323" spans="4:4" ht="13">
      <c r="D323" s="91"/>
    </row>
    <row r="324" spans="4:4" ht="13">
      <c r="D324" s="91"/>
    </row>
    <row r="325" spans="4:4" ht="13">
      <c r="D325" s="91"/>
    </row>
    <row r="326" spans="4:4" ht="13">
      <c r="D326" s="91"/>
    </row>
    <row r="327" spans="4:4" ht="13">
      <c r="D327" s="91"/>
    </row>
    <row r="328" spans="4:4" ht="13">
      <c r="D328" s="91"/>
    </row>
    <row r="329" spans="4:4" ht="13">
      <c r="D329" s="91"/>
    </row>
    <row r="330" spans="4:4" ht="13">
      <c r="D330" s="91"/>
    </row>
    <row r="331" spans="4:4" ht="13">
      <c r="D331" s="91"/>
    </row>
    <row r="332" spans="4:4" ht="13">
      <c r="D332" s="91"/>
    </row>
    <row r="333" spans="4:4" ht="13">
      <c r="D333" s="91"/>
    </row>
    <row r="334" spans="4:4" ht="13">
      <c r="D334" s="91"/>
    </row>
    <row r="335" spans="4:4" ht="13">
      <c r="D335" s="91"/>
    </row>
    <row r="336" spans="4:4" ht="13">
      <c r="D336" s="91"/>
    </row>
    <row r="337" spans="4:4" ht="13">
      <c r="D337" s="91"/>
    </row>
    <row r="338" spans="4:4" ht="13">
      <c r="D338" s="91"/>
    </row>
    <row r="339" spans="4:4" ht="13">
      <c r="D339" s="91"/>
    </row>
    <row r="340" spans="4:4" ht="13">
      <c r="D340" s="91"/>
    </row>
    <row r="341" spans="4:4" ht="13">
      <c r="D341" s="91"/>
    </row>
    <row r="342" spans="4:4" ht="13">
      <c r="D342" s="91"/>
    </row>
    <row r="343" spans="4:4" ht="13">
      <c r="D343" s="91"/>
    </row>
    <row r="344" spans="4:4" ht="13">
      <c r="D344" s="91"/>
    </row>
    <row r="345" spans="4:4" ht="13">
      <c r="D345" s="91"/>
    </row>
    <row r="346" spans="4:4" ht="13">
      <c r="D346" s="91"/>
    </row>
    <row r="347" spans="4:4" ht="13">
      <c r="D347" s="91"/>
    </row>
    <row r="348" spans="4:4" ht="13">
      <c r="D348" s="91"/>
    </row>
    <row r="349" spans="4:4" ht="13">
      <c r="D349" s="91"/>
    </row>
    <row r="350" spans="4:4" ht="13">
      <c r="D350" s="91"/>
    </row>
    <row r="351" spans="4:4" ht="13">
      <c r="D351" s="91"/>
    </row>
    <row r="352" spans="4:4" ht="13">
      <c r="D352" s="91"/>
    </row>
    <row r="353" spans="4:4" ht="13">
      <c r="D353" s="91"/>
    </row>
    <row r="354" spans="4:4" ht="13">
      <c r="D354" s="91"/>
    </row>
    <row r="355" spans="4:4" ht="13">
      <c r="D355" s="91"/>
    </row>
    <row r="356" spans="4:4" ht="13">
      <c r="D356" s="91"/>
    </row>
    <row r="357" spans="4:4" ht="13">
      <c r="D357" s="91"/>
    </row>
    <row r="358" spans="4:4" ht="13">
      <c r="D358" s="91"/>
    </row>
    <row r="359" spans="4:4" ht="13">
      <c r="D359" s="91"/>
    </row>
    <row r="360" spans="4:4" ht="13">
      <c r="D360" s="91"/>
    </row>
    <row r="361" spans="4:4" ht="13">
      <c r="D361" s="91"/>
    </row>
    <row r="362" spans="4:4" ht="13">
      <c r="D362" s="91"/>
    </row>
    <row r="363" spans="4:4" ht="13">
      <c r="D363" s="91"/>
    </row>
    <row r="364" spans="4:4" ht="13">
      <c r="D364" s="91"/>
    </row>
    <row r="365" spans="4:4" ht="13">
      <c r="D365" s="91"/>
    </row>
    <row r="366" spans="4:4" ht="13">
      <c r="D366" s="91"/>
    </row>
    <row r="367" spans="4:4" ht="13">
      <c r="D367" s="91"/>
    </row>
    <row r="368" spans="4:4" ht="13">
      <c r="D368" s="91"/>
    </row>
    <row r="369" spans="4:4" ht="13">
      <c r="D369" s="91"/>
    </row>
    <row r="370" spans="4:4" ht="13">
      <c r="D370" s="91"/>
    </row>
    <row r="371" spans="4:4" ht="13">
      <c r="D371" s="91"/>
    </row>
    <row r="372" spans="4:4" ht="13">
      <c r="D372" s="91"/>
    </row>
    <row r="373" spans="4:4" ht="13">
      <c r="D373" s="91"/>
    </row>
    <row r="374" spans="4:4" ht="13">
      <c r="D374" s="91"/>
    </row>
    <row r="375" spans="4:4" ht="13">
      <c r="D375" s="91"/>
    </row>
    <row r="376" spans="4:4" ht="13">
      <c r="D376" s="91"/>
    </row>
    <row r="377" spans="4:4" ht="13">
      <c r="D377" s="91"/>
    </row>
    <row r="378" spans="4:4" ht="13">
      <c r="D378" s="91"/>
    </row>
    <row r="379" spans="4:4" ht="13">
      <c r="D379" s="91"/>
    </row>
    <row r="380" spans="4:4" ht="13">
      <c r="D380" s="91"/>
    </row>
    <row r="381" spans="4:4" ht="13">
      <c r="D381" s="91"/>
    </row>
    <row r="382" spans="4:4" ht="13">
      <c r="D382" s="91"/>
    </row>
    <row r="383" spans="4:4" ht="13">
      <c r="D383" s="91"/>
    </row>
    <row r="384" spans="4:4" ht="13">
      <c r="D384" s="91"/>
    </row>
    <row r="385" spans="4:4" ht="13">
      <c r="D385" s="91"/>
    </row>
    <row r="386" spans="4:4" ht="13">
      <c r="D386" s="91"/>
    </row>
    <row r="387" spans="4:4" ht="13">
      <c r="D387" s="91"/>
    </row>
    <row r="388" spans="4:4" ht="13">
      <c r="D388" s="91"/>
    </row>
    <row r="389" spans="4:4" ht="13">
      <c r="D389" s="91"/>
    </row>
    <row r="390" spans="4:4" ht="13">
      <c r="D390" s="91"/>
    </row>
    <row r="391" spans="4:4" ht="13">
      <c r="D391" s="91"/>
    </row>
    <row r="392" spans="4:4" ht="13">
      <c r="D392" s="91"/>
    </row>
    <row r="393" spans="4:4" ht="13">
      <c r="D393" s="91"/>
    </row>
    <row r="394" spans="4:4" ht="13">
      <c r="D394" s="91"/>
    </row>
    <row r="395" spans="4:4" ht="13">
      <c r="D395" s="91"/>
    </row>
    <row r="396" spans="4:4" ht="13">
      <c r="D396" s="91"/>
    </row>
    <row r="397" spans="4:4" ht="13">
      <c r="D397" s="91"/>
    </row>
    <row r="398" spans="4:4" ht="13">
      <c r="D398" s="91"/>
    </row>
    <row r="399" spans="4:4" ht="13">
      <c r="D399" s="91"/>
    </row>
    <row r="400" spans="4:4" ht="13">
      <c r="D400" s="91"/>
    </row>
    <row r="401" spans="4:4" ht="13">
      <c r="D401" s="91"/>
    </row>
    <row r="402" spans="4:4" ht="13">
      <c r="D402" s="91"/>
    </row>
    <row r="403" spans="4:4" ht="13">
      <c r="D403" s="91"/>
    </row>
    <row r="404" spans="4:4" ht="13">
      <c r="D404" s="91"/>
    </row>
    <row r="405" spans="4:4" ht="13">
      <c r="D405" s="91"/>
    </row>
    <row r="406" spans="4:4" ht="13">
      <c r="D406" s="91"/>
    </row>
    <row r="407" spans="4:4" ht="13">
      <c r="D407" s="91"/>
    </row>
    <row r="408" spans="4:4" ht="13">
      <c r="D408" s="91"/>
    </row>
    <row r="409" spans="4:4" ht="13">
      <c r="D409" s="91"/>
    </row>
    <row r="410" spans="4:4" ht="13">
      <c r="D410" s="91"/>
    </row>
    <row r="411" spans="4:4" ht="13">
      <c r="D411" s="91"/>
    </row>
    <row r="412" spans="4:4" ht="13">
      <c r="D412" s="91"/>
    </row>
    <row r="413" spans="4:4" ht="13">
      <c r="D413" s="91"/>
    </row>
    <row r="414" spans="4:4" ht="13">
      <c r="D414" s="91"/>
    </row>
    <row r="415" spans="4:4" ht="13">
      <c r="D415" s="91"/>
    </row>
    <row r="416" spans="4:4" ht="13">
      <c r="D416" s="91"/>
    </row>
    <row r="417" spans="4:4" ht="13">
      <c r="D417" s="91"/>
    </row>
    <row r="418" spans="4:4" ht="13">
      <c r="D418" s="91"/>
    </row>
    <row r="419" spans="4:4" ht="13">
      <c r="D419" s="91"/>
    </row>
    <row r="420" spans="4:4" ht="13">
      <c r="D420" s="91"/>
    </row>
    <row r="421" spans="4:4" ht="13">
      <c r="D421" s="91"/>
    </row>
    <row r="422" spans="4:4" ht="13">
      <c r="D422" s="91"/>
    </row>
    <row r="423" spans="4:4" ht="13">
      <c r="D423" s="91"/>
    </row>
    <row r="424" spans="4:4" ht="13">
      <c r="D424" s="91"/>
    </row>
    <row r="425" spans="4:4" ht="13">
      <c r="D425" s="91"/>
    </row>
    <row r="426" spans="4:4" ht="13">
      <c r="D426" s="91"/>
    </row>
    <row r="427" spans="4:4" ht="13">
      <c r="D427" s="91"/>
    </row>
    <row r="428" spans="4:4" ht="13">
      <c r="D428" s="91"/>
    </row>
    <row r="429" spans="4:4" ht="13">
      <c r="D429" s="91"/>
    </row>
    <row r="430" spans="4:4" ht="13">
      <c r="D430" s="91"/>
    </row>
    <row r="431" spans="4:4" ht="13">
      <c r="D431" s="91"/>
    </row>
    <row r="432" spans="4:4" ht="13">
      <c r="D432" s="91"/>
    </row>
    <row r="433" spans="4:4" ht="13">
      <c r="D433" s="91"/>
    </row>
    <row r="434" spans="4:4" ht="13">
      <c r="D434" s="91"/>
    </row>
    <row r="435" spans="4:4" ht="13">
      <c r="D435" s="91"/>
    </row>
    <row r="436" spans="4:4" ht="13">
      <c r="D436" s="91"/>
    </row>
    <row r="437" spans="4:4" ht="13">
      <c r="D437" s="91"/>
    </row>
    <row r="438" spans="4:4" ht="13">
      <c r="D438" s="91"/>
    </row>
    <row r="439" spans="4:4" ht="13">
      <c r="D439" s="91"/>
    </row>
    <row r="440" spans="4:4" ht="13">
      <c r="D440" s="91"/>
    </row>
    <row r="441" spans="4:4" ht="13">
      <c r="D441" s="91"/>
    </row>
    <row r="442" spans="4:4" ht="13">
      <c r="D442" s="91"/>
    </row>
    <row r="443" spans="4:4" ht="13">
      <c r="D443" s="91"/>
    </row>
    <row r="444" spans="4:4" ht="13">
      <c r="D444" s="91"/>
    </row>
    <row r="445" spans="4:4" ht="13">
      <c r="D445" s="91"/>
    </row>
    <row r="446" spans="4:4" ht="13">
      <c r="D446" s="91"/>
    </row>
    <row r="447" spans="4:4" ht="13">
      <c r="D447" s="91"/>
    </row>
    <row r="448" spans="4:4" ht="13">
      <c r="D448" s="91"/>
    </row>
    <row r="449" spans="4:4" ht="13">
      <c r="D449" s="91"/>
    </row>
    <row r="450" spans="4:4" ht="13">
      <c r="D450" s="91"/>
    </row>
    <row r="451" spans="4:4" ht="13">
      <c r="D451" s="91"/>
    </row>
    <row r="452" spans="4:4" ht="13">
      <c r="D452" s="91"/>
    </row>
    <row r="453" spans="4:4" ht="13">
      <c r="D453" s="91"/>
    </row>
    <row r="454" spans="4:4" ht="13">
      <c r="D454" s="91"/>
    </row>
    <row r="455" spans="4:4" ht="13">
      <c r="D455" s="91"/>
    </row>
    <row r="456" spans="4:4" ht="13">
      <c r="D456" s="91"/>
    </row>
    <row r="457" spans="4:4" ht="13">
      <c r="D457" s="91"/>
    </row>
    <row r="458" spans="4:4" ht="13">
      <c r="D458" s="91"/>
    </row>
    <row r="459" spans="4:4" ht="13">
      <c r="D459" s="91"/>
    </row>
    <row r="460" spans="4:4" ht="13">
      <c r="D460" s="91"/>
    </row>
    <row r="461" spans="4:4" ht="13">
      <c r="D461" s="91"/>
    </row>
    <row r="462" spans="4:4" ht="13">
      <c r="D462" s="91"/>
    </row>
    <row r="463" spans="4:4" ht="13">
      <c r="D463" s="91"/>
    </row>
    <row r="464" spans="4:4" ht="13">
      <c r="D464" s="91"/>
    </row>
    <row r="465" spans="4:4" ht="13">
      <c r="D465" s="91"/>
    </row>
    <row r="466" spans="4:4" ht="13">
      <c r="D466" s="91"/>
    </row>
    <row r="467" spans="4:4" ht="13">
      <c r="D467" s="91"/>
    </row>
    <row r="468" spans="4:4" ht="13">
      <c r="D468" s="91"/>
    </row>
    <row r="469" spans="4:4" ht="13">
      <c r="D469" s="91"/>
    </row>
    <row r="470" spans="4:4" ht="13">
      <c r="D470" s="91"/>
    </row>
    <row r="471" spans="4:4" ht="13">
      <c r="D471" s="91"/>
    </row>
    <row r="472" spans="4:4" ht="13">
      <c r="D472" s="91"/>
    </row>
    <row r="473" spans="4:4" ht="13">
      <c r="D473" s="91"/>
    </row>
    <row r="474" spans="4:4" ht="13">
      <c r="D474" s="91"/>
    </row>
    <row r="475" spans="4:4" ht="13">
      <c r="D475" s="91"/>
    </row>
    <row r="476" spans="4:4" ht="13">
      <c r="D476" s="91"/>
    </row>
    <row r="477" spans="4:4" ht="13">
      <c r="D477" s="91"/>
    </row>
    <row r="478" spans="4:4" ht="13">
      <c r="D478" s="91"/>
    </row>
    <row r="479" spans="4:4" ht="13">
      <c r="D479" s="91"/>
    </row>
    <row r="480" spans="4:4" ht="13">
      <c r="D480" s="91"/>
    </row>
    <row r="481" spans="4:4" ht="13">
      <c r="D481" s="91"/>
    </row>
    <row r="482" spans="4:4" ht="13">
      <c r="D482" s="91"/>
    </row>
    <row r="483" spans="4:4" ht="13">
      <c r="D483" s="91"/>
    </row>
    <row r="484" spans="4:4" ht="13">
      <c r="D484" s="91"/>
    </row>
    <row r="485" spans="4:4" ht="13">
      <c r="D485" s="91"/>
    </row>
    <row r="486" spans="4:4" ht="13">
      <c r="D486" s="91"/>
    </row>
    <row r="487" spans="4:4" ht="13">
      <c r="D487" s="91"/>
    </row>
    <row r="488" spans="4:4" ht="13">
      <c r="D488" s="91"/>
    </row>
    <row r="489" spans="4:4" ht="13">
      <c r="D489" s="91"/>
    </row>
    <row r="490" spans="4:4" ht="13">
      <c r="D490" s="91"/>
    </row>
    <row r="491" spans="4:4" ht="13">
      <c r="D491" s="91"/>
    </row>
    <row r="492" spans="4:4" ht="13">
      <c r="D492" s="91"/>
    </row>
    <row r="493" spans="4:4" ht="13">
      <c r="D493" s="91"/>
    </row>
    <row r="494" spans="4:4" ht="13">
      <c r="D494" s="91"/>
    </row>
    <row r="495" spans="4:4" ht="13">
      <c r="D495" s="91"/>
    </row>
    <row r="496" spans="4:4" ht="13">
      <c r="D496" s="91"/>
    </row>
    <row r="497" spans="4:4" ht="13">
      <c r="D497" s="91"/>
    </row>
    <row r="498" spans="4:4" ht="13">
      <c r="D498" s="91"/>
    </row>
    <row r="499" spans="4:4" ht="13">
      <c r="D499" s="91"/>
    </row>
    <row r="500" spans="4:4" ht="13">
      <c r="D500" s="91"/>
    </row>
    <row r="501" spans="4:4" ht="13">
      <c r="D501" s="91"/>
    </row>
    <row r="502" spans="4:4" ht="13">
      <c r="D502" s="91"/>
    </row>
    <row r="503" spans="4:4" ht="13">
      <c r="D503" s="91"/>
    </row>
    <row r="504" spans="4:4" ht="13">
      <c r="D504" s="91"/>
    </row>
    <row r="505" spans="4:4" ht="13">
      <c r="D505" s="91"/>
    </row>
    <row r="506" spans="4:4" ht="13">
      <c r="D506" s="91"/>
    </row>
    <row r="507" spans="4:4" ht="13">
      <c r="D507" s="91"/>
    </row>
    <row r="508" spans="4:4" ht="13">
      <c r="D508" s="91"/>
    </row>
    <row r="509" spans="4:4" ht="13">
      <c r="D509" s="91"/>
    </row>
    <row r="510" spans="4:4" ht="13">
      <c r="D510" s="91"/>
    </row>
    <row r="511" spans="4:4" ht="13">
      <c r="D511" s="91"/>
    </row>
    <row r="512" spans="4:4" ht="13">
      <c r="D512" s="91"/>
    </row>
    <row r="513" spans="4:4" ht="13">
      <c r="D513" s="91"/>
    </row>
    <row r="514" spans="4:4" ht="13">
      <c r="D514" s="91"/>
    </row>
    <row r="515" spans="4:4" ht="13">
      <c r="D515" s="91"/>
    </row>
    <row r="516" spans="4:4" ht="13">
      <c r="D516" s="91"/>
    </row>
    <row r="517" spans="4:4" ht="13">
      <c r="D517" s="91"/>
    </row>
    <row r="518" spans="4:4" ht="13">
      <c r="D518" s="91"/>
    </row>
    <row r="519" spans="4:4" ht="13">
      <c r="D519" s="91"/>
    </row>
    <row r="520" spans="4:4" ht="13">
      <c r="D520" s="91"/>
    </row>
    <row r="521" spans="4:4" ht="13">
      <c r="D521" s="91"/>
    </row>
    <row r="522" spans="4:4" ht="13">
      <c r="D522" s="91"/>
    </row>
    <row r="523" spans="4:4" ht="13">
      <c r="D523" s="91"/>
    </row>
    <row r="524" spans="4:4" ht="13">
      <c r="D524" s="91"/>
    </row>
    <row r="525" spans="4:4" ht="13">
      <c r="D525" s="91"/>
    </row>
    <row r="526" spans="4:4" ht="13">
      <c r="D526" s="91"/>
    </row>
    <row r="527" spans="4:4" ht="13">
      <c r="D527" s="91"/>
    </row>
    <row r="528" spans="4:4" ht="13">
      <c r="D528" s="91"/>
    </row>
    <row r="529" spans="4:4" ht="13">
      <c r="D529" s="91"/>
    </row>
    <row r="530" spans="4:4" ht="13">
      <c r="D530" s="91"/>
    </row>
    <row r="531" spans="4:4" ht="13">
      <c r="D531" s="91"/>
    </row>
    <row r="532" spans="4:4" ht="13">
      <c r="D532" s="91"/>
    </row>
    <row r="533" spans="4:4" ht="13">
      <c r="D533" s="91"/>
    </row>
    <row r="534" spans="4:4" ht="13">
      <c r="D534" s="91"/>
    </row>
    <row r="535" spans="4:4" ht="13">
      <c r="D535" s="91"/>
    </row>
    <row r="536" spans="4:4" ht="13">
      <c r="D536" s="91"/>
    </row>
    <row r="537" spans="4:4" ht="13">
      <c r="D537" s="91"/>
    </row>
    <row r="538" spans="4:4" ht="13">
      <c r="D538" s="91"/>
    </row>
    <row r="539" spans="4:4" ht="13">
      <c r="D539" s="91"/>
    </row>
    <row r="540" spans="4:4" ht="13">
      <c r="D540" s="91"/>
    </row>
    <row r="541" spans="4:4" ht="13">
      <c r="D541" s="91"/>
    </row>
    <row r="542" spans="4:4" ht="13">
      <c r="D542" s="91"/>
    </row>
    <row r="543" spans="4:4" ht="13">
      <c r="D543" s="91"/>
    </row>
    <row r="544" spans="4:4" ht="13">
      <c r="D544" s="91"/>
    </row>
    <row r="545" spans="4:4" ht="13">
      <c r="D545" s="91"/>
    </row>
    <row r="546" spans="4:4" ht="13">
      <c r="D546" s="91"/>
    </row>
    <row r="547" spans="4:4" ht="13">
      <c r="D547" s="91"/>
    </row>
    <row r="548" spans="4:4" ht="13">
      <c r="D548" s="91"/>
    </row>
    <row r="549" spans="4:4" ht="13">
      <c r="D549" s="91"/>
    </row>
    <row r="550" spans="4:4" ht="13">
      <c r="D550" s="91"/>
    </row>
    <row r="551" spans="4:4" ht="13">
      <c r="D551" s="91"/>
    </row>
    <row r="552" spans="4:4" ht="13">
      <c r="D552" s="91"/>
    </row>
    <row r="553" spans="4:4" ht="13">
      <c r="D553" s="91"/>
    </row>
    <row r="554" spans="4:4" ht="13">
      <c r="D554" s="91"/>
    </row>
    <row r="555" spans="4:4" ht="13">
      <c r="D555" s="91"/>
    </row>
    <row r="556" spans="4:4" ht="13">
      <c r="D556" s="91"/>
    </row>
    <row r="557" spans="4:4" ht="13">
      <c r="D557" s="91"/>
    </row>
    <row r="558" spans="4:4" ht="13">
      <c r="D558" s="91"/>
    </row>
    <row r="559" spans="4:4" ht="13">
      <c r="D559" s="91"/>
    </row>
    <row r="560" spans="4:4" ht="13">
      <c r="D560" s="91"/>
    </row>
    <row r="561" spans="4:4" ht="13">
      <c r="D561" s="91"/>
    </row>
    <row r="562" spans="4:4" ht="13">
      <c r="D562" s="91"/>
    </row>
    <row r="563" spans="4:4" ht="13">
      <c r="D563" s="91"/>
    </row>
    <row r="564" spans="4:4" ht="13">
      <c r="D564" s="91"/>
    </row>
    <row r="565" spans="4:4" ht="13">
      <c r="D565" s="91"/>
    </row>
    <row r="566" spans="4:4" ht="13">
      <c r="D566" s="91"/>
    </row>
    <row r="567" spans="4:4" ht="13">
      <c r="D567" s="91"/>
    </row>
    <row r="568" spans="4:4" ht="13">
      <c r="D568" s="91"/>
    </row>
    <row r="569" spans="4:4" ht="13">
      <c r="D569" s="91"/>
    </row>
    <row r="570" spans="4:4" ht="13">
      <c r="D570" s="91"/>
    </row>
    <row r="571" spans="4:4" ht="13">
      <c r="D571" s="91"/>
    </row>
    <row r="572" spans="4:4" ht="13">
      <c r="D572" s="91"/>
    </row>
    <row r="573" spans="4:4" ht="13">
      <c r="D573" s="91"/>
    </row>
    <row r="574" spans="4:4" ht="13">
      <c r="D574" s="91"/>
    </row>
    <row r="575" spans="4:4" ht="13">
      <c r="D575" s="91"/>
    </row>
    <row r="576" spans="4:4" ht="13">
      <c r="D576" s="91"/>
    </row>
    <row r="577" spans="4:4" ht="13">
      <c r="D577" s="91"/>
    </row>
    <row r="578" spans="4:4" ht="13">
      <c r="D578" s="91"/>
    </row>
    <row r="579" spans="4:4" ht="13">
      <c r="D579" s="91"/>
    </row>
    <row r="580" spans="4:4" ht="13">
      <c r="D580" s="91"/>
    </row>
    <row r="581" spans="4:4" ht="13">
      <c r="D581" s="91"/>
    </row>
    <row r="582" spans="4:4" ht="13">
      <c r="D582" s="91"/>
    </row>
    <row r="583" spans="4:4" ht="13">
      <c r="D583" s="91"/>
    </row>
    <row r="584" spans="4:4" ht="13">
      <c r="D584" s="91"/>
    </row>
    <row r="585" spans="4:4" ht="13">
      <c r="D585" s="91"/>
    </row>
    <row r="586" spans="4:4" ht="13">
      <c r="D586" s="91"/>
    </row>
    <row r="587" spans="4:4" ht="13">
      <c r="D587" s="91"/>
    </row>
    <row r="588" spans="4:4" ht="13">
      <c r="D588" s="91"/>
    </row>
    <row r="589" spans="4:4" ht="13">
      <c r="D589" s="91"/>
    </row>
    <row r="590" spans="4:4" ht="13">
      <c r="D590" s="91"/>
    </row>
    <row r="591" spans="4:4" ht="13">
      <c r="D591" s="91"/>
    </row>
    <row r="592" spans="4:4" ht="13">
      <c r="D592" s="91"/>
    </row>
    <row r="593" spans="4:4" ht="13">
      <c r="D593" s="91"/>
    </row>
    <row r="594" spans="4:4" ht="13">
      <c r="D594" s="91"/>
    </row>
    <row r="595" spans="4:4" ht="13">
      <c r="D595" s="91"/>
    </row>
    <row r="596" spans="4:4" ht="13">
      <c r="D596" s="91"/>
    </row>
    <row r="597" spans="4:4" ht="13">
      <c r="D597" s="91"/>
    </row>
    <row r="598" spans="4:4" ht="13">
      <c r="D598" s="91"/>
    </row>
    <row r="599" spans="4:4" ht="13">
      <c r="D599" s="91"/>
    </row>
    <row r="600" spans="4:4" ht="13">
      <c r="D600" s="91"/>
    </row>
    <row r="601" spans="4:4" ht="13">
      <c r="D601" s="91"/>
    </row>
    <row r="602" spans="4:4" ht="13">
      <c r="D602" s="91"/>
    </row>
    <row r="603" spans="4:4" ht="13">
      <c r="D603" s="91"/>
    </row>
    <row r="604" spans="4:4" ht="13">
      <c r="D604" s="91"/>
    </row>
    <row r="605" spans="4:4" ht="13">
      <c r="D605" s="91"/>
    </row>
    <row r="606" spans="4:4" ht="13">
      <c r="D606" s="91"/>
    </row>
    <row r="607" spans="4:4" ht="13">
      <c r="D607" s="91"/>
    </row>
    <row r="608" spans="4:4" ht="13">
      <c r="D608" s="91"/>
    </row>
    <row r="609" spans="4:4" ht="13">
      <c r="D609" s="91"/>
    </row>
    <row r="610" spans="4:4" ht="13">
      <c r="D610" s="91"/>
    </row>
    <row r="611" spans="4:4" ht="13">
      <c r="D611" s="91"/>
    </row>
    <row r="612" spans="4:4" ht="13">
      <c r="D612" s="91"/>
    </row>
    <row r="613" spans="4:4" ht="13">
      <c r="D613" s="91"/>
    </row>
    <row r="614" spans="4:4" ht="13">
      <c r="D614" s="91"/>
    </row>
    <row r="615" spans="4:4" ht="13">
      <c r="D615" s="91"/>
    </row>
    <row r="616" spans="4:4" ht="13">
      <c r="D616" s="91"/>
    </row>
    <row r="617" spans="4:4" ht="13">
      <c r="D617" s="91"/>
    </row>
    <row r="618" spans="4:4" ht="13">
      <c r="D618" s="91"/>
    </row>
    <row r="619" spans="4:4" ht="13">
      <c r="D619" s="91"/>
    </row>
    <row r="620" spans="4:4" ht="13">
      <c r="D620" s="91"/>
    </row>
    <row r="621" spans="4:4" ht="13">
      <c r="D621" s="91"/>
    </row>
    <row r="622" spans="4:4" ht="13">
      <c r="D622" s="91"/>
    </row>
    <row r="623" spans="4:4" ht="13">
      <c r="D623" s="91"/>
    </row>
    <row r="624" spans="4:4" ht="13">
      <c r="D624" s="91"/>
    </row>
    <row r="625" spans="4:4" ht="13">
      <c r="D625" s="91"/>
    </row>
    <row r="626" spans="4:4" ht="13">
      <c r="D626" s="91"/>
    </row>
    <row r="627" spans="4:4" ht="13">
      <c r="D627" s="91"/>
    </row>
    <row r="628" spans="4:4" ht="13">
      <c r="D628" s="91"/>
    </row>
    <row r="629" spans="4:4" ht="13">
      <c r="D629" s="91"/>
    </row>
    <row r="630" spans="4:4" ht="13">
      <c r="D630" s="91"/>
    </row>
    <row r="631" spans="4:4" ht="13">
      <c r="D631" s="91"/>
    </row>
    <row r="632" spans="4:4" ht="13">
      <c r="D632" s="91"/>
    </row>
    <row r="633" spans="4:4" ht="13">
      <c r="D633" s="91"/>
    </row>
    <row r="634" spans="4:4" ht="13">
      <c r="D634" s="91"/>
    </row>
    <row r="635" spans="4:4" ht="13">
      <c r="D635" s="91"/>
    </row>
    <row r="636" spans="4:4" ht="13">
      <c r="D636" s="91"/>
    </row>
    <row r="637" spans="4:4" ht="13">
      <c r="D637" s="91"/>
    </row>
    <row r="638" spans="4:4" ht="13">
      <c r="D638" s="91"/>
    </row>
    <row r="639" spans="4:4" ht="13">
      <c r="D639" s="91"/>
    </row>
    <row r="640" spans="4:4" ht="13">
      <c r="D640" s="91"/>
    </row>
    <row r="641" spans="4:4" ht="13">
      <c r="D641" s="91"/>
    </row>
    <row r="642" spans="4:4" ht="13">
      <c r="D642" s="91"/>
    </row>
    <row r="643" spans="4:4" ht="13">
      <c r="D643" s="91"/>
    </row>
    <row r="644" spans="4:4" ht="13">
      <c r="D644" s="91"/>
    </row>
    <row r="645" spans="4:4" ht="13">
      <c r="D645" s="91"/>
    </row>
    <row r="646" spans="4:4" ht="13">
      <c r="D646" s="91"/>
    </row>
    <row r="647" spans="4:4" ht="13">
      <c r="D647" s="91"/>
    </row>
    <row r="648" spans="4:4" ht="13">
      <c r="D648" s="91"/>
    </row>
    <row r="649" spans="4:4" ht="13">
      <c r="D649" s="91"/>
    </row>
    <row r="650" spans="4:4" ht="13">
      <c r="D650" s="91"/>
    </row>
    <row r="651" spans="4:4" ht="13">
      <c r="D651" s="91"/>
    </row>
    <row r="652" spans="4:4" ht="13">
      <c r="D652" s="91"/>
    </row>
    <row r="653" spans="4:4" ht="13">
      <c r="D653" s="91"/>
    </row>
    <row r="654" spans="4:4" ht="13">
      <c r="D654" s="91"/>
    </row>
    <row r="655" spans="4:4" ht="13">
      <c r="D655" s="91"/>
    </row>
    <row r="656" spans="4:4" ht="13">
      <c r="D656" s="91"/>
    </row>
    <row r="657" spans="4:4" ht="13">
      <c r="D657" s="91"/>
    </row>
    <row r="658" spans="4:4" ht="13">
      <c r="D658" s="91"/>
    </row>
    <row r="659" spans="4:4" ht="13">
      <c r="D659" s="91"/>
    </row>
    <row r="660" spans="4:4" ht="13">
      <c r="D660" s="91"/>
    </row>
    <row r="661" spans="4:4" ht="13">
      <c r="D661" s="91"/>
    </row>
    <row r="662" spans="4:4" ht="13">
      <c r="D662" s="91"/>
    </row>
    <row r="663" spans="4:4" ht="13">
      <c r="D663" s="91"/>
    </row>
    <row r="664" spans="4:4" ht="13">
      <c r="D664" s="91"/>
    </row>
    <row r="665" spans="4:4" ht="13">
      <c r="D665" s="91"/>
    </row>
    <row r="666" spans="4:4" ht="13">
      <c r="D666" s="91"/>
    </row>
    <row r="667" spans="4:4" ht="13">
      <c r="D667" s="91"/>
    </row>
    <row r="668" spans="4:4" ht="13">
      <c r="D668" s="91"/>
    </row>
    <row r="669" spans="4:4" ht="13">
      <c r="D669" s="91"/>
    </row>
    <row r="670" spans="4:4" ht="13">
      <c r="D670" s="91"/>
    </row>
    <row r="671" spans="4:4" ht="13">
      <c r="D671" s="91"/>
    </row>
    <row r="672" spans="4:4" ht="13">
      <c r="D672" s="91"/>
    </row>
    <row r="673" spans="4:4" ht="13">
      <c r="D673" s="91"/>
    </row>
    <row r="674" spans="4:4" ht="13">
      <c r="D674" s="91"/>
    </row>
    <row r="675" spans="4:4" ht="13">
      <c r="D675" s="91"/>
    </row>
    <row r="676" spans="4:4" ht="13">
      <c r="D676" s="91"/>
    </row>
    <row r="677" spans="4:4" ht="13">
      <c r="D677" s="91"/>
    </row>
    <row r="678" spans="4:4" ht="13">
      <c r="D678" s="91"/>
    </row>
    <row r="679" spans="4:4" ht="13">
      <c r="D679" s="91"/>
    </row>
    <row r="680" spans="4:4" ht="13">
      <c r="D680" s="91"/>
    </row>
    <row r="681" spans="4:4" ht="13">
      <c r="D681" s="91"/>
    </row>
    <row r="682" spans="4:4" ht="13">
      <c r="D682" s="91"/>
    </row>
    <row r="683" spans="4:4" ht="13">
      <c r="D683" s="91"/>
    </row>
    <row r="684" spans="4:4" ht="13">
      <c r="D684" s="91"/>
    </row>
    <row r="685" spans="4:4" ht="13">
      <c r="D685" s="91"/>
    </row>
    <row r="686" spans="4:4" ht="13">
      <c r="D686" s="91"/>
    </row>
    <row r="687" spans="4:4" ht="13">
      <c r="D687" s="91"/>
    </row>
    <row r="688" spans="4:4" ht="13">
      <c r="D688" s="91"/>
    </row>
    <row r="689" spans="4:4" ht="13">
      <c r="D689" s="91"/>
    </row>
    <row r="690" spans="4:4" ht="13">
      <c r="D690" s="91"/>
    </row>
    <row r="691" spans="4:4" ht="13">
      <c r="D691" s="91"/>
    </row>
    <row r="692" spans="4:4" ht="13">
      <c r="D692" s="91"/>
    </row>
    <row r="693" spans="4:4" ht="13">
      <c r="D693" s="91"/>
    </row>
    <row r="694" spans="4:4" ht="13">
      <c r="D694" s="91"/>
    </row>
    <row r="695" spans="4:4" ht="13">
      <c r="D695" s="91"/>
    </row>
    <row r="696" spans="4:4" ht="13">
      <c r="D696" s="91"/>
    </row>
    <row r="697" spans="4:4" ht="13">
      <c r="D697" s="91"/>
    </row>
    <row r="698" spans="4:4" ht="13">
      <c r="D698" s="91"/>
    </row>
    <row r="699" spans="4:4" ht="13">
      <c r="D699" s="91"/>
    </row>
    <row r="700" spans="4:4" ht="13">
      <c r="D700" s="91"/>
    </row>
    <row r="701" spans="4:4" ht="13">
      <c r="D701" s="91"/>
    </row>
    <row r="702" spans="4:4" ht="13">
      <c r="D702" s="91"/>
    </row>
    <row r="703" spans="4:4" ht="13">
      <c r="D703" s="91"/>
    </row>
    <row r="704" spans="4:4" ht="13">
      <c r="D704" s="91"/>
    </row>
    <row r="705" spans="4:4" ht="13">
      <c r="D705" s="91"/>
    </row>
    <row r="706" spans="4:4" ht="13">
      <c r="D706" s="91"/>
    </row>
    <row r="707" spans="4:4" ht="13">
      <c r="D707" s="91"/>
    </row>
    <row r="708" spans="4:4" ht="13">
      <c r="D708" s="91"/>
    </row>
    <row r="709" spans="4:4" ht="13">
      <c r="D709" s="91"/>
    </row>
    <row r="710" spans="4:4" ht="13">
      <c r="D710" s="91"/>
    </row>
    <row r="711" spans="4:4" ht="13">
      <c r="D711" s="91"/>
    </row>
    <row r="712" spans="4:4" ht="13">
      <c r="D712" s="91"/>
    </row>
    <row r="713" spans="4:4" ht="13">
      <c r="D713" s="91"/>
    </row>
    <row r="714" spans="4:4" ht="13">
      <c r="D714" s="91"/>
    </row>
    <row r="715" spans="4:4" ht="13">
      <c r="D715" s="91"/>
    </row>
    <row r="716" spans="4:4" ht="13">
      <c r="D716" s="91"/>
    </row>
    <row r="717" spans="4:4" ht="13">
      <c r="D717" s="91"/>
    </row>
    <row r="718" spans="4:4" ht="13">
      <c r="D718" s="91"/>
    </row>
    <row r="719" spans="4:4" ht="13">
      <c r="D719" s="91"/>
    </row>
    <row r="720" spans="4:4" ht="13">
      <c r="D720" s="91"/>
    </row>
    <row r="721" spans="4:4" ht="13">
      <c r="D721" s="91"/>
    </row>
    <row r="722" spans="4:4" ht="13">
      <c r="D722" s="91"/>
    </row>
    <row r="723" spans="4:4" ht="13">
      <c r="D723" s="91"/>
    </row>
    <row r="724" spans="4:4" ht="13">
      <c r="D724" s="91"/>
    </row>
    <row r="725" spans="4:4" ht="13">
      <c r="D725" s="91"/>
    </row>
    <row r="726" spans="4:4" ht="13">
      <c r="D726" s="91"/>
    </row>
    <row r="727" spans="4:4" ht="13">
      <c r="D727" s="91"/>
    </row>
    <row r="728" spans="4:4" ht="13">
      <c r="D728" s="91"/>
    </row>
    <row r="729" spans="4:4" ht="13">
      <c r="D729" s="91"/>
    </row>
    <row r="730" spans="4:4" ht="13">
      <c r="D730" s="91"/>
    </row>
    <row r="731" spans="4:4" ht="13">
      <c r="D731" s="91"/>
    </row>
    <row r="732" spans="4:4" ht="13">
      <c r="D732" s="91"/>
    </row>
    <row r="733" spans="4:4" ht="13">
      <c r="D733" s="91"/>
    </row>
    <row r="734" spans="4:4" ht="13">
      <c r="D734" s="91"/>
    </row>
    <row r="735" spans="4:4" ht="13">
      <c r="D735" s="91"/>
    </row>
    <row r="736" spans="4:4" ht="13">
      <c r="D736" s="91"/>
    </row>
    <row r="737" spans="4:4" ht="13">
      <c r="D737" s="91"/>
    </row>
    <row r="738" spans="4:4" ht="13">
      <c r="D738" s="91"/>
    </row>
    <row r="739" spans="4:4" ht="13">
      <c r="D739" s="91"/>
    </row>
    <row r="740" spans="4:4" ht="13">
      <c r="D740" s="91"/>
    </row>
    <row r="741" spans="4:4" ht="13">
      <c r="D741" s="91"/>
    </row>
    <row r="742" spans="4:4" ht="13">
      <c r="D742" s="91"/>
    </row>
    <row r="743" spans="4:4" ht="13">
      <c r="D743" s="91"/>
    </row>
    <row r="744" spans="4:4" ht="13">
      <c r="D744" s="91"/>
    </row>
    <row r="745" spans="4:4" ht="13">
      <c r="D745" s="91"/>
    </row>
    <row r="746" spans="4:4" ht="13">
      <c r="D746" s="91"/>
    </row>
    <row r="747" spans="4:4" ht="13">
      <c r="D747" s="91"/>
    </row>
    <row r="748" spans="4:4" ht="13">
      <c r="D748" s="91"/>
    </row>
    <row r="749" spans="4:4" ht="13">
      <c r="D749" s="91"/>
    </row>
    <row r="750" spans="4:4" ht="13">
      <c r="D750" s="91"/>
    </row>
    <row r="751" spans="4:4" ht="13">
      <c r="D751" s="91"/>
    </row>
    <row r="752" spans="4:4" ht="13">
      <c r="D752" s="91"/>
    </row>
    <row r="753" spans="4:4" ht="13">
      <c r="D753" s="91"/>
    </row>
    <row r="754" spans="4:4" ht="13">
      <c r="D754" s="91"/>
    </row>
    <row r="755" spans="4:4" ht="13">
      <c r="D755" s="91"/>
    </row>
    <row r="756" spans="4:4" ht="13">
      <c r="D756" s="91"/>
    </row>
    <row r="757" spans="4:4" ht="13">
      <c r="D757" s="91"/>
    </row>
    <row r="758" spans="4:4" ht="13">
      <c r="D758" s="91"/>
    </row>
    <row r="759" spans="4:4" ht="13">
      <c r="D759" s="91"/>
    </row>
    <row r="760" spans="4:4" ht="13">
      <c r="D760" s="91"/>
    </row>
    <row r="761" spans="4:4" ht="13">
      <c r="D761" s="91"/>
    </row>
    <row r="762" spans="4:4" ht="13">
      <c r="D762" s="91"/>
    </row>
    <row r="763" spans="4:4" ht="13">
      <c r="D763" s="91"/>
    </row>
    <row r="764" spans="4:4" ht="13">
      <c r="D764" s="91"/>
    </row>
    <row r="765" spans="4:4" ht="13">
      <c r="D765" s="91"/>
    </row>
    <row r="766" spans="4:4" ht="13">
      <c r="D766" s="91"/>
    </row>
    <row r="767" spans="4:4" ht="13">
      <c r="D767" s="91"/>
    </row>
    <row r="768" spans="4:4" ht="13">
      <c r="D768" s="91"/>
    </row>
    <row r="769" spans="4:4" ht="13">
      <c r="D769" s="91"/>
    </row>
    <row r="770" spans="4:4" ht="13">
      <c r="D770" s="91"/>
    </row>
    <row r="771" spans="4:4" ht="13">
      <c r="D771" s="91"/>
    </row>
    <row r="772" spans="4:4" ht="13">
      <c r="D772" s="91"/>
    </row>
    <row r="773" spans="4:4" ht="13">
      <c r="D773" s="91"/>
    </row>
    <row r="774" spans="4:4" ht="13">
      <c r="D774" s="91"/>
    </row>
    <row r="775" spans="4:4" ht="13">
      <c r="D775" s="91"/>
    </row>
    <row r="776" spans="4:4" ht="13">
      <c r="D776" s="91"/>
    </row>
    <row r="777" spans="4:4" ht="13">
      <c r="D777" s="91"/>
    </row>
    <row r="778" spans="4:4" ht="13">
      <c r="D778" s="91"/>
    </row>
    <row r="779" spans="4:4" ht="13">
      <c r="D779" s="91"/>
    </row>
    <row r="780" spans="4:4" ht="13">
      <c r="D780" s="91"/>
    </row>
    <row r="781" spans="4:4" ht="13">
      <c r="D781" s="91"/>
    </row>
    <row r="782" spans="4:4" ht="13">
      <c r="D782" s="91"/>
    </row>
    <row r="783" spans="4:4" ht="13">
      <c r="D783" s="91"/>
    </row>
    <row r="784" spans="4:4" ht="13">
      <c r="D784" s="91"/>
    </row>
    <row r="785" spans="4:4" ht="13">
      <c r="D785" s="91"/>
    </row>
    <row r="786" spans="4:4" ht="13">
      <c r="D786" s="91"/>
    </row>
    <row r="787" spans="4:4" ht="13">
      <c r="D787" s="91"/>
    </row>
    <row r="788" spans="4:4" ht="13">
      <c r="D788" s="91"/>
    </row>
    <row r="789" spans="4:4" ht="13">
      <c r="D789" s="91"/>
    </row>
    <row r="790" spans="4:4" ht="13">
      <c r="D790" s="91"/>
    </row>
    <row r="791" spans="4:4" ht="13">
      <c r="D791" s="91"/>
    </row>
    <row r="792" spans="4:4" ht="13">
      <c r="D792" s="91"/>
    </row>
    <row r="793" spans="4:4" ht="13">
      <c r="D793" s="91"/>
    </row>
    <row r="794" spans="4:4" ht="13">
      <c r="D794" s="91"/>
    </row>
    <row r="795" spans="4:4" ht="13">
      <c r="D795" s="91"/>
    </row>
    <row r="796" spans="4:4" ht="13">
      <c r="D796" s="91"/>
    </row>
    <row r="797" spans="4:4" ht="13">
      <c r="D797" s="91"/>
    </row>
    <row r="798" spans="4:4" ht="13">
      <c r="D798" s="91"/>
    </row>
    <row r="799" spans="4:4" ht="13">
      <c r="D799" s="91"/>
    </row>
    <row r="800" spans="4:4" ht="13">
      <c r="D800" s="91"/>
    </row>
    <row r="801" spans="4:4" ht="13">
      <c r="D801" s="91"/>
    </row>
    <row r="802" spans="4:4" ht="13">
      <c r="D802" s="91"/>
    </row>
    <row r="803" spans="4:4" ht="13">
      <c r="D803" s="91"/>
    </row>
    <row r="804" spans="4:4" ht="13">
      <c r="D804" s="91"/>
    </row>
    <row r="805" spans="4:4" ht="13">
      <c r="D805" s="91"/>
    </row>
    <row r="806" spans="4:4" ht="13">
      <c r="D806" s="91"/>
    </row>
    <row r="807" spans="4:4" ht="13">
      <c r="D807" s="91"/>
    </row>
    <row r="808" spans="4:4" ht="13">
      <c r="D808" s="91"/>
    </row>
    <row r="809" spans="4:4" ht="13">
      <c r="D809" s="91"/>
    </row>
    <row r="810" spans="4:4" ht="13">
      <c r="D810" s="91"/>
    </row>
    <row r="811" spans="4:4" ht="13">
      <c r="D811" s="91"/>
    </row>
    <row r="812" spans="4:4" ht="13">
      <c r="D812" s="91"/>
    </row>
    <row r="813" spans="4:4" ht="13">
      <c r="D813" s="91"/>
    </row>
    <row r="814" spans="4:4" ht="13">
      <c r="D814" s="91"/>
    </row>
    <row r="815" spans="4:4" ht="13">
      <c r="D815" s="91"/>
    </row>
    <row r="816" spans="4:4" ht="13">
      <c r="D816" s="91"/>
    </row>
    <row r="817" spans="4:4" ht="13">
      <c r="D817" s="91"/>
    </row>
    <row r="818" spans="4:4" ht="13">
      <c r="D818" s="91"/>
    </row>
    <row r="819" spans="4:4" ht="13">
      <c r="D819" s="91"/>
    </row>
    <row r="820" spans="4:4" ht="13">
      <c r="D820" s="91"/>
    </row>
    <row r="821" spans="4:4" ht="13">
      <c r="D821" s="91"/>
    </row>
    <row r="822" spans="4:4" ht="13">
      <c r="D822" s="91"/>
    </row>
    <row r="823" spans="4:4" ht="13">
      <c r="D823" s="91"/>
    </row>
    <row r="824" spans="4:4" ht="13">
      <c r="D824" s="91"/>
    </row>
    <row r="825" spans="4:4" ht="13">
      <c r="D825" s="91"/>
    </row>
    <row r="826" spans="4:4" ht="13">
      <c r="D826" s="91"/>
    </row>
    <row r="827" spans="4:4" ht="13">
      <c r="D827" s="91"/>
    </row>
    <row r="828" spans="4:4" ht="13">
      <c r="D828" s="91"/>
    </row>
    <row r="829" spans="4:4" ht="13">
      <c r="D829" s="91"/>
    </row>
    <row r="830" spans="4:4" ht="13">
      <c r="D830" s="91"/>
    </row>
    <row r="831" spans="4:4" ht="13">
      <c r="D831" s="91"/>
    </row>
    <row r="832" spans="4:4" ht="13">
      <c r="D832" s="91"/>
    </row>
    <row r="833" spans="4:4" ht="13">
      <c r="D833" s="91"/>
    </row>
    <row r="834" spans="4:4" ht="13">
      <c r="D834" s="91"/>
    </row>
    <row r="835" spans="4:4" ht="13">
      <c r="D835" s="91"/>
    </row>
    <row r="836" spans="4:4" ht="13">
      <c r="D836" s="91"/>
    </row>
    <row r="837" spans="4:4" ht="13">
      <c r="D837" s="91"/>
    </row>
    <row r="838" spans="4:4" ht="13">
      <c r="D838" s="91"/>
    </row>
    <row r="839" spans="4:4" ht="13">
      <c r="D839" s="91"/>
    </row>
    <row r="840" spans="4:4" ht="13">
      <c r="D840" s="91"/>
    </row>
    <row r="841" spans="4:4" ht="13">
      <c r="D841" s="91"/>
    </row>
    <row r="842" spans="4:4" ht="13">
      <c r="D842" s="91"/>
    </row>
    <row r="843" spans="4:4" ht="13">
      <c r="D843" s="91"/>
    </row>
    <row r="844" spans="4:4" ht="13">
      <c r="D844" s="91"/>
    </row>
    <row r="845" spans="4:4" ht="13">
      <c r="D845" s="91"/>
    </row>
    <row r="846" spans="4:4" ht="13">
      <c r="D846" s="91"/>
    </row>
    <row r="847" spans="4:4" ht="13">
      <c r="D847" s="91"/>
    </row>
    <row r="848" spans="4:4" ht="13">
      <c r="D848" s="91"/>
    </row>
    <row r="849" spans="4:4" ht="13">
      <c r="D849" s="91"/>
    </row>
    <row r="850" spans="4:4" ht="13">
      <c r="D850" s="91"/>
    </row>
    <row r="851" spans="4:4" ht="13">
      <c r="D851" s="91"/>
    </row>
    <row r="852" spans="4:4" ht="13">
      <c r="D852" s="91"/>
    </row>
    <row r="853" spans="4:4" ht="13">
      <c r="D853" s="91"/>
    </row>
    <row r="854" spans="4:4" ht="13">
      <c r="D854" s="91"/>
    </row>
    <row r="855" spans="4:4" ht="13">
      <c r="D855" s="91"/>
    </row>
    <row r="856" spans="4:4" ht="13">
      <c r="D856" s="91"/>
    </row>
    <row r="857" spans="4:4" ht="13">
      <c r="D857" s="91"/>
    </row>
    <row r="858" spans="4:4" ht="13">
      <c r="D858" s="91"/>
    </row>
    <row r="859" spans="4:4" ht="13">
      <c r="D859" s="91"/>
    </row>
    <row r="860" spans="4:4" ht="13">
      <c r="D860" s="91"/>
    </row>
    <row r="861" spans="4:4" ht="13">
      <c r="D861" s="91"/>
    </row>
    <row r="862" spans="4:4" ht="13">
      <c r="D862" s="91"/>
    </row>
    <row r="863" spans="4:4" ht="13">
      <c r="D863" s="91"/>
    </row>
    <row r="864" spans="4:4" ht="13">
      <c r="D864" s="91"/>
    </row>
    <row r="865" spans="4:4" ht="13">
      <c r="D865" s="91"/>
    </row>
    <row r="866" spans="4:4" ht="13">
      <c r="D866" s="91"/>
    </row>
    <row r="867" spans="4:4" ht="13">
      <c r="D867" s="91"/>
    </row>
    <row r="868" spans="4:4" ht="13">
      <c r="D868" s="91"/>
    </row>
    <row r="869" spans="4:4" ht="13">
      <c r="D869" s="91"/>
    </row>
    <row r="870" spans="4:4" ht="13">
      <c r="D870" s="91"/>
    </row>
    <row r="871" spans="4:4" ht="13">
      <c r="D871" s="91"/>
    </row>
    <row r="872" spans="4:4" ht="13">
      <c r="D872" s="91"/>
    </row>
    <row r="873" spans="4:4" ht="13">
      <c r="D873" s="91"/>
    </row>
    <row r="874" spans="4:4" ht="13">
      <c r="D874" s="91"/>
    </row>
    <row r="875" spans="4:4" ht="13">
      <c r="D875" s="91"/>
    </row>
    <row r="876" spans="4:4" ht="13">
      <c r="D876" s="91"/>
    </row>
    <row r="877" spans="4:4" ht="13">
      <c r="D877" s="91"/>
    </row>
    <row r="878" spans="4:4" ht="13">
      <c r="D878" s="91"/>
    </row>
    <row r="879" spans="4:4" ht="13">
      <c r="D879" s="91"/>
    </row>
    <row r="880" spans="4:4" ht="13">
      <c r="D880" s="91"/>
    </row>
    <row r="881" spans="4:4" ht="13">
      <c r="D881" s="91"/>
    </row>
    <row r="882" spans="4:4" ht="13">
      <c r="D882" s="91"/>
    </row>
    <row r="883" spans="4:4" ht="13">
      <c r="D883" s="91"/>
    </row>
    <row r="884" spans="4:4" ht="13">
      <c r="D884" s="91"/>
    </row>
    <row r="885" spans="4:4" ht="13">
      <c r="D885" s="91"/>
    </row>
    <row r="886" spans="4:4" ht="13">
      <c r="D886" s="91"/>
    </row>
    <row r="887" spans="4:4" ht="13">
      <c r="D887" s="91"/>
    </row>
    <row r="888" spans="4:4" ht="13">
      <c r="D888" s="91"/>
    </row>
    <row r="889" spans="4:4" ht="13">
      <c r="D889" s="91"/>
    </row>
    <row r="890" spans="4:4" ht="13">
      <c r="D890" s="91"/>
    </row>
    <row r="891" spans="4:4" ht="13">
      <c r="D891" s="91"/>
    </row>
    <row r="892" spans="4:4" ht="13">
      <c r="D892" s="91"/>
    </row>
    <row r="893" spans="4:4" ht="13">
      <c r="D893" s="91"/>
    </row>
    <row r="894" spans="4:4" ht="13">
      <c r="D894" s="91"/>
    </row>
    <row r="895" spans="4:4" ht="13">
      <c r="D895" s="91"/>
    </row>
    <row r="896" spans="4:4" ht="13">
      <c r="D896" s="91"/>
    </row>
    <row r="897" spans="4:4" ht="13">
      <c r="D897" s="91"/>
    </row>
    <row r="898" spans="4:4" ht="13">
      <c r="D898" s="91"/>
    </row>
    <row r="899" spans="4:4" ht="13">
      <c r="D899" s="91"/>
    </row>
    <row r="900" spans="4:4" ht="13">
      <c r="D900" s="91"/>
    </row>
    <row r="901" spans="4:4" ht="13">
      <c r="D901" s="91"/>
    </row>
    <row r="902" spans="4:4" ht="13">
      <c r="D902" s="91"/>
    </row>
    <row r="903" spans="4:4" ht="13">
      <c r="D903" s="91"/>
    </row>
    <row r="904" spans="4:4" ht="13">
      <c r="D904" s="91"/>
    </row>
    <row r="905" spans="4:4" ht="13">
      <c r="D905" s="91"/>
    </row>
    <row r="906" spans="4:4" ht="13">
      <c r="D906" s="91"/>
    </row>
    <row r="907" spans="4:4" ht="13">
      <c r="D907" s="91"/>
    </row>
    <row r="908" spans="4:4" ht="13">
      <c r="D908" s="91"/>
    </row>
    <row r="909" spans="4:4" ht="13">
      <c r="D909" s="91"/>
    </row>
    <row r="910" spans="4:4" ht="13">
      <c r="D910" s="91"/>
    </row>
    <row r="911" spans="4:4" ht="13">
      <c r="D911" s="91"/>
    </row>
    <row r="912" spans="4:4" ht="13">
      <c r="D912" s="91"/>
    </row>
    <row r="913" spans="4:4" ht="13">
      <c r="D913" s="91"/>
    </row>
    <row r="914" spans="4:4" ht="13">
      <c r="D914" s="91"/>
    </row>
    <row r="915" spans="4:4" ht="13">
      <c r="D915" s="91"/>
    </row>
    <row r="916" spans="4:4" ht="13">
      <c r="D916" s="91"/>
    </row>
    <row r="917" spans="4:4" ht="13">
      <c r="D917" s="91"/>
    </row>
    <row r="918" spans="4:4" ht="13">
      <c r="D918" s="91"/>
    </row>
    <row r="919" spans="4:4" ht="13">
      <c r="D919" s="91"/>
    </row>
    <row r="920" spans="4:4" ht="13">
      <c r="D920" s="91"/>
    </row>
    <row r="921" spans="4:4" ht="13">
      <c r="D921" s="91"/>
    </row>
    <row r="922" spans="4:4" ht="13">
      <c r="D922" s="91"/>
    </row>
    <row r="923" spans="4:4" ht="13">
      <c r="D923" s="91"/>
    </row>
    <row r="924" spans="4:4" ht="13">
      <c r="D924" s="91"/>
    </row>
    <row r="925" spans="4:4" ht="13">
      <c r="D925" s="91"/>
    </row>
    <row r="926" spans="4:4" ht="13">
      <c r="D926" s="91"/>
    </row>
    <row r="927" spans="4:4" ht="13">
      <c r="D927" s="91"/>
    </row>
    <row r="928" spans="4:4" ht="13">
      <c r="D928" s="91"/>
    </row>
    <row r="929" spans="4:4" ht="13">
      <c r="D929" s="91"/>
    </row>
    <row r="930" spans="4:4" ht="13">
      <c r="D930" s="91"/>
    </row>
    <row r="931" spans="4:4" ht="13">
      <c r="D931" s="91"/>
    </row>
    <row r="932" spans="4:4" ht="13">
      <c r="D932" s="91"/>
    </row>
    <row r="933" spans="4:4" ht="13">
      <c r="D933" s="91"/>
    </row>
    <row r="934" spans="4:4" ht="13">
      <c r="D934" s="91"/>
    </row>
    <row r="935" spans="4:4" ht="13">
      <c r="D935" s="91"/>
    </row>
    <row r="936" spans="4:4" ht="13">
      <c r="D936" s="91"/>
    </row>
    <row r="937" spans="4:4" ht="13">
      <c r="D937" s="91"/>
    </row>
    <row r="938" spans="4:4" ht="13">
      <c r="D938" s="91"/>
    </row>
    <row r="939" spans="4:4" ht="13">
      <c r="D939" s="91"/>
    </row>
    <row r="940" spans="4:4" ht="13">
      <c r="D940" s="91"/>
    </row>
    <row r="941" spans="4:4" ht="13">
      <c r="D941" s="91"/>
    </row>
    <row r="942" spans="4:4" ht="13">
      <c r="D942" s="91"/>
    </row>
    <row r="943" spans="4:4" ht="13">
      <c r="D943" s="91"/>
    </row>
    <row r="944" spans="4:4" ht="13">
      <c r="D944" s="91"/>
    </row>
    <row r="945" spans="4:4" ht="13">
      <c r="D945" s="91"/>
    </row>
    <row r="946" spans="4:4" ht="13">
      <c r="D946" s="91"/>
    </row>
    <row r="947" spans="4:4" ht="13">
      <c r="D947" s="91"/>
    </row>
    <row r="948" spans="4:4" ht="13">
      <c r="D948" s="91"/>
    </row>
    <row r="949" spans="4:4" ht="13">
      <c r="D949" s="91"/>
    </row>
    <row r="950" spans="4:4" ht="13">
      <c r="D950" s="91"/>
    </row>
    <row r="951" spans="4:4" ht="13">
      <c r="D951" s="91"/>
    </row>
    <row r="952" spans="4:4" ht="13">
      <c r="D952" s="91"/>
    </row>
    <row r="953" spans="4:4" ht="13">
      <c r="D953" s="91"/>
    </row>
    <row r="954" spans="4:4" ht="13">
      <c r="D954" s="91"/>
    </row>
    <row r="955" spans="4:4" ht="13">
      <c r="D955" s="91"/>
    </row>
    <row r="956" spans="4:4" ht="13">
      <c r="D956" s="91"/>
    </row>
    <row r="957" spans="4:4" ht="13">
      <c r="D957" s="91"/>
    </row>
    <row r="958" spans="4:4" ht="13">
      <c r="D958" s="91"/>
    </row>
    <row r="959" spans="4:4" ht="13">
      <c r="D959" s="91"/>
    </row>
    <row r="960" spans="4:4" ht="13">
      <c r="D960" s="91"/>
    </row>
    <row r="961" spans="4:4" ht="13">
      <c r="D961" s="91"/>
    </row>
    <row r="962" spans="4:4" ht="13">
      <c r="D962" s="91"/>
    </row>
    <row r="963" spans="4:4" ht="13">
      <c r="D963" s="91"/>
    </row>
    <row r="964" spans="4:4" ht="13">
      <c r="D964" s="91"/>
    </row>
    <row r="965" spans="4:4" ht="13">
      <c r="D965" s="91"/>
    </row>
    <row r="966" spans="4:4" ht="13">
      <c r="D966" s="91"/>
    </row>
    <row r="967" spans="4:4" ht="13">
      <c r="D967" s="91"/>
    </row>
    <row r="968" spans="4:4" ht="13">
      <c r="D968" s="91"/>
    </row>
    <row r="969" spans="4:4" ht="13">
      <c r="D969" s="91"/>
    </row>
    <row r="970" spans="4:4" ht="13">
      <c r="D970" s="91"/>
    </row>
    <row r="971" spans="4:4" ht="13">
      <c r="D971" s="91"/>
    </row>
    <row r="972" spans="4:4" ht="13">
      <c r="D972" s="91"/>
    </row>
    <row r="973" spans="4:4" ht="13">
      <c r="D973" s="91"/>
    </row>
    <row r="974" spans="4:4" ht="13">
      <c r="D974" s="91"/>
    </row>
    <row r="975" spans="4:4" ht="13">
      <c r="D975" s="91"/>
    </row>
    <row r="976" spans="4:4" ht="13">
      <c r="D976" s="91"/>
    </row>
    <row r="977" spans="4:4" ht="13">
      <c r="D977" s="91"/>
    </row>
    <row r="978" spans="4:4" ht="13">
      <c r="D978" s="91"/>
    </row>
    <row r="979" spans="4:4" ht="13">
      <c r="D979" s="91"/>
    </row>
    <row r="980" spans="4:4" ht="13">
      <c r="D980" s="91"/>
    </row>
    <row r="981" spans="4:4" ht="13">
      <c r="D981" s="91"/>
    </row>
    <row r="982" spans="4:4" ht="13">
      <c r="D982" s="91"/>
    </row>
    <row r="983" spans="4:4" ht="13">
      <c r="D983" s="91"/>
    </row>
    <row r="984" spans="4:4" ht="13">
      <c r="D984" s="91"/>
    </row>
    <row r="985" spans="4:4" ht="13">
      <c r="D985" s="91"/>
    </row>
    <row r="986" spans="4:4" ht="13">
      <c r="D986" s="91"/>
    </row>
    <row r="987" spans="4:4" ht="13">
      <c r="D987" s="91"/>
    </row>
  </sheetData>
  <hyperlinks>
    <hyperlink ref="B24" r:id="rId1" xr:uid="{00000000-0004-0000-0A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84"/>
  <sheetViews>
    <sheetView workbookViewId="0"/>
  </sheetViews>
  <sheetFormatPr baseColWidth="10" defaultColWidth="12.6640625" defaultRowHeight="15.75" customHeight="1"/>
  <cols>
    <col min="1" max="1" width="16.1640625" customWidth="1"/>
    <col min="2" max="2" width="24.83203125" customWidth="1"/>
  </cols>
  <sheetData>
    <row r="1" spans="1:26" ht="15.75" customHeight="1">
      <c r="A1" s="96" t="s">
        <v>212</v>
      </c>
      <c r="B1" s="75" t="s">
        <v>230</v>
      </c>
      <c r="C1" s="75" t="s">
        <v>231</v>
      </c>
      <c r="D1" s="90" t="s">
        <v>215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customHeight="1">
      <c r="A2" s="9" t="s">
        <v>12</v>
      </c>
      <c r="B2" s="9" t="s">
        <v>232</v>
      </c>
      <c r="C2" s="36">
        <f>784700-289100</f>
        <v>495600</v>
      </c>
      <c r="D2" s="91">
        <f t="shared" ref="D2:D48" si="0">C2/92.18</f>
        <v>5376.437405077023</v>
      </c>
    </row>
    <row r="3" spans="1:26" ht="15.75" customHeight="1">
      <c r="A3" s="9" t="s">
        <v>12</v>
      </c>
      <c r="B3" s="9" t="s">
        <v>233</v>
      </c>
      <c r="C3" s="36">
        <f>778800-565012</f>
        <v>213788</v>
      </c>
      <c r="D3" s="91">
        <f t="shared" si="0"/>
        <v>2319.244955521805</v>
      </c>
    </row>
    <row r="4" spans="1:26" ht="15.75" customHeight="1">
      <c r="A4" s="9" t="s">
        <v>12</v>
      </c>
      <c r="B4" s="9" t="s">
        <v>234</v>
      </c>
      <c r="C4" s="36">
        <f>306800-153400</f>
        <v>153400</v>
      </c>
      <c r="D4" s="91">
        <f t="shared" si="0"/>
        <v>1664.1353872857451</v>
      </c>
    </row>
    <row r="5" spans="1:26" ht="15.75" customHeight="1">
      <c r="A5" s="9" t="s">
        <v>12</v>
      </c>
      <c r="B5" s="9" t="s">
        <v>235</v>
      </c>
      <c r="C5" s="36">
        <v>75000</v>
      </c>
      <c r="D5" s="91">
        <f t="shared" si="0"/>
        <v>813.62551529615962</v>
      </c>
    </row>
    <row r="6" spans="1:26" ht="15.75" customHeight="1">
      <c r="A6" s="9" t="s">
        <v>12</v>
      </c>
      <c r="B6" s="9" t="s">
        <v>236</v>
      </c>
      <c r="C6" s="36">
        <v>50000</v>
      </c>
      <c r="D6" s="91">
        <f t="shared" si="0"/>
        <v>542.41701019743971</v>
      </c>
    </row>
    <row r="7" spans="1:26" ht="15.75" customHeight="1">
      <c r="A7" s="9" t="s">
        <v>12</v>
      </c>
      <c r="B7" s="9" t="s">
        <v>237</v>
      </c>
      <c r="C7" s="35">
        <f>3954+149084</f>
        <v>153038</v>
      </c>
      <c r="D7" s="91">
        <f t="shared" si="0"/>
        <v>1660.2082881319157</v>
      </c>
    </row>
    <row r="8" spans="1:26" ht="15.75" customHeight="1">
      <c r="A8" s="9" t="s">
        <v>11</v>
      </c>
      <c r="B8" s="35" t="s">
        <v>238</v>
      </c>
      <c r="C8" s="36">
        <v>103750</v>
      </c>
      <c r="D8" s="91">
        <f t="shared" si="0"/>
        <v>1125.5152961596875</v>
      </c>
    </row>
    <row r="9" spans="1:26" ht="15.75" customHeight="1">
      <c r="A9" s="9" t="s">
        <v>11</v>
      </c>
      <c r="B9" s="35" t="s">
        <v>239</v>
      </c>
      <c r="C9" s="36">
        <v>82789</v>
      </c>
      <c r="D9" s="91">
        <f t="shared" si="0"/>
        <v>898.12323714471677</v>
      </c>
    </row>
    <row r="10" spans="1:26" ht="15.75" customHeight="1">
      <c r="A10" s="9" t="s">
        <v>11</v>
      </c>
      <c r="B10" s="35" t="s">
        <v>240</v>
      </c>
      <c r="C10" s="35">
        <v>1500</v>
      </c>
      <c r="D10" s="91">
        <f t="shared" si="0"/>
        <v>16.272510305923191</v>
      </c>
    </row>
    <row r="11" spans="1:26" ht="15.75" customHeight="1">
      <c r="A11" s="92" t="s">
        <v>241</v>
      </c>
      <c r="B11" s="35" t="s">
        <v>242</v>
      </c>
      <c r="C11" s="36">
        <v>10000</v>
      </c>
      <c r="D11" s="91">
        <f t="shared" si="0"/>
        <v>108.48340203948796</v>
      </c>
    </row>
    <row r="12" spans="1:26" ht="15.75" customHeight="1">
      <c r="A12" s="92" t="s">
        <v>241</v>
      </c>
      <c r="B12" s="35" t="s">
        <v>243</v>
      </c>
      <c r="C12" s="36">
        <f>490074-297766</f>
        <v>192308</v>
      </c>
      <c r="D12" s="91">
        <f t="shared" si="0"/>
        <v>2086.2226079409847</v>
      </c>
    </row>
    <row r="13" spans="1:26" ht="15.75" customHeight="1">
      <c r="A13" s="92" t="s">
        <v>241</v>
      </c>
      <c r="B13" s="35" t="s">
        <v>244</v>
      </c>
      <c r="C13" s="36">
        <f>1369+2546</f>
        <v>3915</v>
      </c>
      <c r="D13" s="91">
        <f t="shared" si="0"/>
        <v>42.471251898459535</v>
      </c>
    </row>
    <row r="14" spans="1:26" ht="15.75" customHeight="1">
      <c r="A14" s="92" t="s">
        <v>241</v>
      </c>
      <c r="B14" s="35" t="s">
        <v>245</v>
      </c>
      <c r="C14" s="36">
        <v>644</v>
      </c>
      <c r="D14" s="91">
        <f t="shared" si="0"/>
        <v>6.9863310913430237</v>
      </c>
    </row>
    <row r="15" spans="1:26" ht="15.75" customHeight="1">
      <c r="A15" s="92" t="s">
        <v>241</v>
      </c>
      <c r="B15" s="35" t="s">
        <v>246</v>
      </c>
      <c r="C15" s="36">
        <f>2193+1844+5531</f>
        <v>9568</v>
      </c>
      <c r="D15" s="91">
        <f t="shared" si="0"/>
        <v>103.79691907138208</v>
      </c>
    </row>
    <row r="16" spans="1:26" ht="15.75" customHeight="1">
      <c r="A16" s="92" t="s">
        <v>241</v>
      </c>
      <c r="B16" s="35" t="s">
        <v>247</v>
      </c>
      <c r="C16" s="36">
        <v>14748</v>
      </c>
      <c r="D16" s="91">
        <f t="shared" si="0"/>
        <v>159.99132132783683</v>
      </c>
    </row>
    <row r="17" spans="1:4" ht="15.75" customHeight="1">
      <c r="A17" s="92" t="s">
        <v>241</v>
      </c>
      <c r="B17" s="97" t="s">
        <v>281</v>
      </c>
      <c r="C17" s="36">
        <v>20003</v>
      </c>
      <c r="D17" s="91">
        <f t="shared" si="0"/>
        <v>216.99934909958776</v>
      </c>
    </row>
    <row r="18" spans="1:4" ht="15.75" customHeight="1">
      <c r="A18" s="92" t="s">
        <v>241</v>
      </c>
      <c r="B18" s="35" t="s">
        <v>248</v>
      </c>
      <c r="C18" s="36">
        <v>650</v>
      </c>
      <c r="D18" s="91">
        <f t="shared" si="0"/>
        <v>7.0514211325667171</v>
      </c>
    </row>
    <row r="19" spans="1:4" ht="15.75" customHeight="1">
      <c r="A19" s="92" t="s">
        <v>241</v>
      </c>
      <c r="B19" s="35" t="s">
        <v>249</v>
      </c>
      <c r="C19" s="36">
        <v>7857</v>
      </c>
      <c r="D19" s="91">
        <f t="shared" si="0"/>
        <v>85.235408982425682</v>
      </c>
    </row>
    <row r="20" spans="1:4" ht="15.75" customHeight="1">
      <c r="A20" s="92" t="s">
        <v>241</v>
      </c>
      <c r="B20" s="35" t="s">
        <v>282</v>
      </c>
      <c r="C20" s="36">
        <f>85912+45537</f>
        <v>131449</v>
      </c>
      <c r="D20" s="91">
        <f t="shared" si="0"/>
        <v>1426.0034714688652</v>
      </c>
    </row>
    <row r="21" spans="1:4" ht="15.75" customHeight="1">
      <c r="A21" s="92" t="s">
        <v>241</v>
      </c>
      <c r="B21" s="35" t="s">
        <v>250</v>
      </c>
      <c r="C21" s="36">
        <v>2305</v>
      </c>
      <c r="D21" s="91">
        <f t="shared" si="0"/>
        <v>25.005424170101971</v>
      </c>
    </row>
    <row r="22" spans="1:4" ht="15.75" customHeight="1">
      <c r="A22" s="92" t="s">
        <v>241</v>
      </c>
      <c r="B22" s="35" t="s">
        <v>251</v>
      </c>
      <c r="C22" s="36">
        <f>1648+6388+2467</f>
        <v>10503</v>
      </c>
      <c r="D22" s="91">
        <f t="shared" si="0"/>
        <v>113.94011716207419</v>
      </c>
    </row>
    <row r="23" spans="1:4" ht="15.75" customHeight="1">
      <c r="A23" s="92" t="s">
        <v>241</v>
      </c>
      <c r="B23" s="97" t="s">
        <v>252</v>
      </c>
      <c r="C23" s="36">
        <v>9688</v>
      </c>
      <c r="D23" s="91">
        <f t="shared" si="0"/>
        <v>105.09871989585592</v>
      </c>
    </row>
    <row r="24" spans="1:4" ht="15.75" customHeight="1">
      <c r="A24" s="92" t="s">
        <v>241</v>
      </c>
      <c r="B24" s="35" t="s">
        <v>253</v>
      </c>
      <c r="C24" s="36">
        <v>6526</v>
      </c>
      <c r="D24" s="91">
        <f t="shared" si="0"/>
        <v>70.796268170969839</v>
      </c>
    </row>
    <row r="25" spans="1:4" ht="15.75" customHeight="1">
      <c r="A25" s="92" t="s">
        <v>241</v>
      </c>
      <c r="B25" s="35" t="s">
        <v>254</v>
      </c>
      <c r="C25" s="35">
        <f>58098+673</f>
        <v>58771</v>
      </c>
      <c r="D25" s="91">
        <f t="shared" si="0"/>
        <v>637.56780212627461</v>
      </c>
    </row>
    <row r="26" spans="1:4" ht="15.75" customHeight="1">
      <c r="A26" s="92" t="s">
        <v>241</v>
      </c>
      <c r="B26" s="35" t="s">
        <v>283</v>
      </c>
      <c r="C26" s="36">
        <v>6000</v>
      </c>
      <c r="D26" s="91">
        <f t="shared" si="0"/>
        <v>65.090041223692765</v>
      </c>
    </row>
    <row r="27" spans="1:4" ht="15.75" customHeight="1">
      <c r="A27" s="92" t="s">
        <v>241</v>
      </c>
      <c r="B27" s="35" t="s">
        <v>256</v>
      </c>
      <c r="C27" s="36">
        <f>1710+1709</f>
        <v>3419</v>
      </c>
      <c r="D27" s="91">
        <f t="shared" si="0"/>
        <v>37.090475157300929</v>
      </c>
    </row>
    <row r="28" spans="1:4" ht="15.75" customHeight="1">
      <c r="A28" s="92" t="s">
        <v>15</v>
      </c>
      <c r="B28" s="35" t="s">
        <v>257</v>
      </c>
      <c r="C28" s="36">
        <v>54280</v>
      </c>
      <c r="D28" s="91">
        <f t="shared" si="0"/>
        <v>588.84790627034056</v>
      </c>
    </row>
    <row r="29" spans="1:4" ht="15.75" customHeight="1">
      <c r="A29" s="92" t="s">
        <v>15</v>
      </c>
      <c r="B29" s="35" t="s">
        <v>258</v>
      </c>
      <c r="C29" s="36">
        <v>4166</v>
      </c>
      <c r="D29" s="91">
        <f t="shared" si="0"/>
        <v>45.194185289650683</v>
      </c>
    </row>
    <row r="30" spans="1:4" ht="15.75" customHeight="1">
      <c r="A30" s="92" t="s">
        <v>15</v>
      </c>
      <c r="B30" s="35" t="s">
        <v>259</v>
      </c>
      <c r="C30" s="36">
        <f>2249+737</f>
        <v>2986</v>
      </c>
      <c r="D30" s="91">
        <f t="shared" si="0"/>
        <v>32.393143848991102</v>
      </c>
    </row>
    <row r="31" spans="1:4" ht="15.75" customHeight="1">
      <c r="A31" s="94" t="s">
        <v>260</v>
      </c>
      <c r="B31" s="35" t="s">
        <v>284</v>
      </c>
      <c r="C31" s="36">
        <v>180804</v>
      </c>
      <c r="D31" s="91">
        <f t="shared" si="0"/>
        <v>1961.423302234758</v>
      </c>
    </row>
    <row r="32" spans="1:4" ht="15.75" customHeight="1">
      <c r="A32" s="94" t="s">
        <v>260</v>
      </c>
      <c r="B32" s="35" t="s">
        <v>117</v>
      </c>
      <c r="C32" s="36">
        <v>180581</v>
      </c>
      <c r="D32" s="91">
        <f t="shared" si="0"/>
        <v>1959.0041223692774</v>
      </c>
    </row>
    <row r="33" spans="1:4" ht="15.75" customHeight="1">
      <c r="A33" s="92" t="s">
        <v>13</v>
      </c>
      <c r="B33" s="35" t="s">
        <v>262</v>
      </c>
      <c r="C33" s="36">
        <v>36750</v>
      </c>
      <c r="D33" s="91">
        <f t="shared" si="0"/>
        <v>398.6765024951182</v>
      </c>
    </row>
    <row r="34" spans="1:4" ht="15.75" customHeight="1">
      <c r="A34" s="92" t="s">
        <v>13</v>
      </c>
      <c r="B34" s="35" t="s">
        <v>263</v>
      </c>
      <c r="C34" s="36">
        <f>3406+2579+269093</f>
        <v>275078</v>
      </c>
      <c r="D34" s="91">
        <f t="shared" si="0"/>
        <v>2984.1397266218269</v>
      </c>
    </row>
    <row r="35" spans="1:4" ht="15.75" customHeight="1">
      <c r="A35" s="92" t="s">
        <v>13</v>
      </c>
      <c r="B35" s="35" t="s">
        <v>264</v>
      </c>
      <c r="C35" s="36">
        <f>7658+83565+53560+281462-224058</f>
        <v>202187</v>
      </c>
      <c r="D35" s="91">
        <f t="shared" si="0"/>
        <v>2193.3933608157949</v>
      </c>
    </row>
    <row r="36" spans="1:4" ht="15.75" customHeight="1">
      <c r="A36" s="92" t="s">
        <v>14</v>
      </c>
      <c r="B36" s="35" t="s">
        <v>265</v>
      </c>
      <c r="C36" s="36">
        <v>26240</v>
      </c>
      <c r="D36" s="91">
        <f t="shared" si="0"/>
        <v>284.66044695161639</v>
      </c>
    </row>
    <row r="37" spans="1:4" ht="15.75" customHeight="1">
      <c r="A37" s="92" t="s">
        <v>14</v>
      </c>
      <c r="B37" s="35" t="s">
        <v>266</v>
      </c>
      <c r="C37" s="36">
        <v>12000</v>
      </c>
      <c r="D37" s="91">
        <f t="shared" si="0"/>
        <v>130.18008244738553</v>
      </c>
    </row>
    <row r="38" spans="1:4" ht="15.75" customHeight="1">
      <c r="A38" s="92" t="s">
        <v>14</v>
      </c>
      <c r="B38" s="35" t="s">
        <v>267</v>
      </c>
      <c r="C38" s="36">
        <v>2500</v>
      </c>
      <c r="D38" s="91">
        <f t="shared" si="0"/>
        <v>27.120850509871989</v>
      </c>
    </row>
    <row r="39" spans="1:4" ht="15.75" customHeight="1">
      <c r="A39" s="92" t="s">
        <v>14</v>
      </c>
      <c r="B39" s="35" t="s">
        <v>268</v>
      </c>
      <c r="C39" s="36">
        <v>15000</v>
      </c>
      <c r="D39" s="91">
        <f t="shared" si="0"/>
        <v>162.72510305923191</v>
      </c>
    </row>
    <row r="40" spans="1:4" ht="15.75" customHeight="1">
      <c r="A40" s="92" t="s">
        <v>14</v>
      </c>
      <c r="B40" s="35" t="s">
        <v>269</v>
      </c>
      <c r="C40" s="36">
        <v>9400</v>
      </c>
      <c r="D40" s="91">
        <f t="shared" si="0"/>
        <v>101.97439791711868</v>
      </c>
    </row>
    <row r="41" spans="1:4" ht="15.75" customHeight="1">
      <c r="A41" s="92" t="s">
        <v>14</v>
      </c>
      <c r="B41" s="35" t="s">
        <v>263</v>
      </c>
      <c r="C41" s="36">
        <v>65561</v>
      </c>
      <c r="D41" s="91">
        <f t="shared" si="0"/>
        <v>711.22803211108692</v>
      </c>
    </row>
    <row r="42" spans="1:4" ht="15.75" customHeight="1">
      <c r="A42" s="92" t="s">
        <v>14</v>
      </c>
      <c r="B42" s="35" t="s">
        <v>270</v>
      </c>
      <c r="C42" s="36">
        <f>3984+1653+7654</f>
        <v>13291</v>
      </c>
      <c r="D42" s="91">
        <f t="shared" si="0"/>
        <v>144.18528965068344</v>
      </c>
    </row>
    <row r="43" spans="1:4" ht="15.75" customHeight="1">
      <c r="A43" s="95" t="s">
        <v>271</v>
      </c>
      <c r="B43" s="35" t="s">
        <v>272</v>
      </c>
      <c r="C43" s="36">
        <v>114750</v>
      </c>
      <c r="D43" s="91">
        <f t="shared" si="0"/>
        <v>1244.8470384031243</v>
      </c>
    </row>
    <row r="44" spans="1:4" ht="15.75" customHeight="1">
      <c r="A44" s="92" t="s">
        <v>93</v>
      </c>
      <c r="B44" s="35" t="s">
        <v>278</v>
      </c>
      <c r="C44" s="36">
        <v>760485</v>
      </c>
      <c r="D44" s="91">
        <f t="shared" si="0"/>
        <v>8250</v>
      </c>
    </row>
    <row r="45" spans="1:4" ht="15.75" customHeight="1">
      <c r="A45" s="92" t="s">
        <v>93</v>
      </c>
      <c r="B45" s="35" t="s">
        <v>285</v>
      </c>
      <c r="C45" s="36">
        <f>110509+72783</f>
        <v>183292</v>
      </c>
      <c r="D45" s="91">
        <f t="shared" si="0"/>
        <v>1988.4139726621825</v>
      </c>
    </row>
    <row r="46" spans="1:4" ht="15.75" customHeight="1">
      <c r="A46" s="92" t="s">
        <v>93</v>
      </c>
      <c r="B46" s="35" t="s">
        <v>286</v>
      </c>
      <c r="C46" s="35">
        <v>1613150</v>
      </c>
      <c r="D46" s="91">
        <f t="shared" si="0"/>
        <v>17500</v>
      </c>
    </row>
    <row r="47" spans="1:4" ht="15.75" customHeight="1">
      <c r="A47" s="92" t="s">
        <v>93</v>
      </c>
      <c r="B47" s="35" t="s">
        <v>287</v>
      </c>
      <c r="C47" s="35">
        <v>7227</v>
      </c>
      <c r="D47" s="91">
        <f t="shared" si="0"/>
        <v>78.400954653937944</v>
      </c>
    </row>
    <row r="48" spans="1:4" ht="15.75" customHeight="1">
      <c r="A48" s="9" t="s">
        <v>16</v>
      </c>
      <c r="B48" s="69" t="s">
        <v>277</v>
      </c>
      <c r="C48" s="42">
        <v>7558</v>
      </c>
      <c r="D48" s="91">
        <f t="shared" si="0"/>
        <v>81.991755261444993</v>
      </c>
    </row>
    <row r="49" spans="4:4" ht="15.75" customHeight="1">
      <c r="D49" s="91"/>
    </row>
    <row r="50" spans="4:4" ht="13">
      <c r="D50" s="91"/>
    </row>
    <row r="51" spans="4:4" ht="13">
      <c r="D51" s="91"/>
    </row>
    <row r="52" spans="4:4" ht="13">
      <c r="D52" s="91"/>
    </row>
    <row r="53" spans="4:4" ht="13">
      <c r="D53" s="91"/>
    </row>
    <row r="54" spans="4:4" ht="13">
      <c r="D54" s="91"/>
    </row>
    <row r="55" spans="4:4" ht="13">
      <c r="D55" s="91"/>
    </row>
    <row r="56" spans="4:4" ht="13">
      <c r="D56" s="91"/>
    </row>
    <row r="57" spans="4:4" ht="13">
      <c r="D57" s="91"/>
    </row>
    <row r="58" spans="4:4" ht="13">
      <c r="D58" s="91"/>
    </row>
    <row r="59" spans="4:4" ht="13">
      <c r="D59" s="91"/>
    </row>
    <row r="60" spans="4:4" ht="13">
      <c r="D60" s="91"/>
    </row>
    <row r="61" spans="4:4" ht="13">
      <c r="D61" s="91"/>
    </row>
    <row r="62" spans="4:4" ht="13">
      <c r="D62" s="91"/>
    </row>
    <row r="63" spans="4:4" ht="13">
      <c r="D63" s="91"/>
    </row>
    <row r="64" spans="4:4" ht="13">
      <c r="D64" s="91"/>
    </row>
    <row r="65" spans="4:4" ht="13">
      <c r="D65" s="91"/>
    </row>
    <row r="66" spans="4:4" ht="13">
      <c r="D66" s="91"/>
    </row>
    <row r="67" spans="4:4" ht="13">
      <c r="D67" s="91"/>
    </row>
    <row r="68" spans="4:4" ht="13">
      <c r="D68" s="91"/>
    </row>
    <row r="69" spans="4:4" ht="13">
      <c r="D69" s="91"/>
    </row>
    <row r="70" spans="4:4" ht="13">
      <c r="D70" s="91"/>
    </row>
    <row r="71" spans="4:4" ht="13">
      <c r="D71" s="91"/>
    </row>
    <row r="72" spans="4:4" ht="13">
      <c r="D72" s="91"/>
    </row>
    <row r="73" spans="4:4" ht="13">
      <c r="D73" s="91"/>
    </row>
    <row r="74" spans="4:4" ht="13">
      <c r="D74" s="91"/>
    </row>
    <row r="75" spans="4:4" ht="13">
      <c r="D75" s="91"/>
    </row>
    <row r="76" spans="4:4" ht="13">
      <c r="D76" s="91"/>
    </row>
    <row r="77" spans="4:4" ht="13">
      <c r="D77" s="91"/>
    </row>
    <row r="78" spans="4:4" ht="13">
      <c r="D78" s="91"/>
    </row>
    <row r="79" spans="4:4" ht="13">
      <c r="D79" s="91"/>
    </row>
    <row r="80" spans="4:4" ht="13">
      <c r="D80" s="91"/>
    </row>
    <row r="81" spans="4:4" ht="13">
      <c r="D81" s="91"/>
    </row>
    <row r="82" spans="4:4" ht="13">
      <c r="D82" s="91"/>
    </row>
    <row r="83" spans="4:4" ht="13">
      <c r="D83" s="91"/>
    </row>
    <row r="84" spans="4:4" ht="13">
      <c r="D84" s="91"/>
    </row>
    <row r="85" spans="4:4" ht="13">
      <c r="D85" s="91"/>
    </row>
    <row r="86" spans="4:4" ht="13">
      <c r="D86" s="91"/>
    </row>
    <row r="87" spans="4:4" ht="13">
      <c r="D87" s="91"/>
    </row>
    <row r="88" spans="4:4" ht="13">
      <c r="D88" s="91"/>
    </row>
    <row r="89" spans="4:4" ht="13">
      <c r="D89" s="91"/>
    </row>
    <row r="90" spans="4:4" ht="13">
      <c r="D90" s="91"/>
    </row>
    <row r="91" spans="4:4" ht="13">
      <c r="D91" s="91"/>
    </row>
    <row r="92" spans="4:4" ht="13">
      <c r="D92" s="91"/>
    </row>
    <row r="93" spans="4:4" ht="13">
      <c r="D93" s="91"/>
    </row>
    <row r="94" spans="4:4" ht="13">
      <c r="D94" s="91"/>
    </row>
    <row r="95" spans="4:4" ht="13">
      <c r="D95" s="91"/>
    </row>
    <row r="96" spans="4:4" ht="13">
      <c r="D96" s="91"/>
    </row>
    <row r="97" spans="4:4" ht="13">
      <c r="D97" s="91"/>
    </row>
    <row r="98" spans="4:4" ht="13">
      <c r="D98" s="91"/>
    </row>
    <row r="99" spans="4:4" ht="13">
      <c r="D99" s="91"/>
    </row>
    <row r="100" spans="4:4" ht="13">
      <c r="D100" s="91"/>
    </row>
    <row r="101" spans="4:4" ht="13">
      <c r="D101" s="91"/>
    </row>
    <row r="102" spans="4:4" ht="13">
      <c r="D102" s="91"/>
    </row>
    <row r="103" spans="4:4" ht="13">
      <c r="D103" s="91"/>
    </row>
    <row r="104" spans="4:4" ht="13">
      <c r="D104" s="91"/>
    </row>
    <row r="105" spans="4:4" ht="13">
      <c r="D105" s="91"/>
    </row>
    <row r="106" spans="4:4" ht="13">
      <c r="D106" s="91"/>
    </row>
    <row r="107" spans="4:4" ht="13">
      <c r="D107" s="91"/>
    </row>
    <row r="108" spans="4:4" ht="13">
      <c r="D108" s="91"/>
    </row>
    <row r="109" spans="4:4" ht="13">
      <c r="D109" s="91"/>
    </row>
    <row r="110" spans="4:4" ht="13">
      <c r="D110" s="91"/>
    </row>
    <row r="111" spans="4:4" ht="13">
      <c r="D111" s="91"/>
    </row>
    <row r="112" spans="4:4" ht="13">
      <c r="D112" s="91"/>
    </row>
    <row r="113" spans="4:4" ht="13">
      <c r="D113" s="91"/>
    </row>
    <row r="114" spans="4:4" ht="13">
      <c r="D114" s="91"/>
    </row>
    <row r="115" spans="4:4" ht="13">
      <c r="D115" s="91"/>
    </row>
    <row r="116" spans="4:4" ht="13">
      <c r="D116" s="91"/>
    </row>
    <row r="117" spans="4:4" ht="13">
      <c r="D117" s="91"/>
    </row>
    <row r="118" spans="4:4" ht="13">
      <c r="D118" s="91"/>
    </row>
    <row r="119" spans="4:4" ht="13">
      <c r="D119" s="91"/>
    </row>
    <row r="120" spans="4:4" ht="13">
      <c r="D120" s="91"/>
    </row>
    <row r="121" spans="4:4" ht="13">
      <c r="D121" s="91"/>
    </row>
    <row r="122" spans="4:4" ht="13">
      <c r="D122" s="91"/>
    </row>
    <row r="123" spans="4:4" ht="13">
      <c r="D123" s="91"/>
    </row>
    <row r="124" spans="4:4" ht="13">
      <c r="D124" s="91"/>
    </row>
    <row r="125" spans="4:4" ht="13">
      <c r="D125" s="91"/>
    </row>
    <row r="126" spans="4:4" ht="13">
      <c r="D126" s="91"/>
    </row>
    <row r="127" spans="4:4" ht="13">
      <c r="D127" s="91"/>
    </row>
    <row r="128" spans="4:4" ht="13">
      <c r="D128" s="91"/>
    </row>
    <row r="129" spans="4:4" ht="13">
      <c r="D129" s="91"/>
    </row>
    <row r="130" spans="4:4" ht="13">
      <c r="D130" s="91"/>
    </row>
    <row r="131" spans="4:4" ht="13">
      <c r="D131" s="91"/>
    </row>
    <row r="132" spans="4:4" ht="13">
      <c r="D132" s="91"/>
    </row>
    <row r="133" spans="4:4" ht="13">
      <c r="D133" s="91"/>
    </row>
    <row r="134" spans="4:4" ht="13">
      <c r="D134" s="91"/>
    </row>
    <row r="135" spans="4:4" ht="13">
      <c r="D135" s="91"/>
    </row>
    <row r="136" spans="4:4" ht="13">
      <c r="D136" s="91"/>
    </row>
    <row r="137" spans="4:4" ht="13">
      <c r="D137" s="91"/>
    </row>
    <row r="138" spans="4:4" ht="13">
      <c r="D138" s="91"/>
    </row>
    <row r="139" spans="4:4" ht="13">
      <c r="D139" s="91"/>
    </row>
    <row r="140" spans="4:4" ht="13">
      <c r="D140" s="91"/>
    </row>
    <row r="141" spans="4:4" ht="13">
      <c r="D141" s="91"/>
    </row>
    <row r="142" spans="4:4" ht="13">
      <c r="D142" s="91"/>
    </row>
    <row r="143" spans="4:4" ht="13">
      <c r="D143" s="91"/>
    </row>
    <row r="144" spans="4:4" ht="13">
      <c r="D144" s="91"/>
    </row>
    <row r="145" spans="4:4" ht="13">
      <c r="D145" s="91"/>
    </row>
    <row r="146" spans="4:4" ht="13">
      <c r="D146" s="91"/>
    </row>
    <row r="147" spans="4:4" ht="13">
      <c r="D147" s="91"/>
    </row>
    <row r="148" spans="4:4" ht="13">
      <c r="D148" s="91"/>
    </row>
    <row r="149" spans="4:4" ht="13">
      <c r="D149" s="91"/>
    </row>
    <row r="150" spans="4:4" ht="13">
      <c r="D150" s="91"/>
    </row>
    <row r="151" spans="4:4" ht="13">
      <c r="D151" s="91"/>
    </row>
    <row r="152" spans="4:4" ht="13">
      <c r="D152" s="91"/>
    </row>
    <row r="153" spans="4:4" ht="13">
      <c r="D153" s="91"/>
    </row>
    <row r="154" spans="4:4" ht="13">
      <c r="D154" s="91"/>
    </row>
    <row r="155" spans="4:4" ht="13">
      <c r="D155" s="91"/>
    </row>
    <row r="156" spans="4:4" ht="13">
      <c r="D156" s="91"/>
    </row>
    <row r="157" spans="4:4" ht="13">
      <c r="D157" s="91"/>
    </row>
    <row r="158" spans="4:4" ht="13">
      <c r="D158" s="91"/>
    </row>
    <row r="159" spans="4:4" ht="13">
      <c r="D159" s="91"/>
    </row>
    <row r="160" spans="4:4" ht="13">
      <c r="D160" s="91"/>
    </row>
    <row r="161" spans="4:4" ht="13">
      <c r="D161" s="91"/>
    </row>
    <row r="162" spans="4:4" ht="13">
      <c r="D162" s="91"/>
    </row>
    <row r="163" spans="4:4" ht="13">
      <c r="D163" s="91"/>
    </row>
    <row r="164" spans="4:4" ht="13">
      <c r="D164" s="91"/>
    </row>
    <row r="165" spans="4:4" ht="13">
      <c r="D165" s="91"/>
    </row>
    <row r="166" spans="4:4" ht="13">
      <c r="D166" s="91"/>
    </row>
    <row r="167" spans="4:4" ht="13">
      <c r="D167" s="91"/>
    </row>
    <row r="168" spans="4:4" ht="13">
      <c r="D168" s="91"/>
    </row>
    <row r="169" spans="4:4" ht="13">
      <c r="D169" s="91"/>
    </row>
    <row r="170" spans="4:4" ht="13">
      <c r="D170" s="91"/>
    </row>
    <row r="171" spans="4:4" ht="13">
      <c r="D171" s="91"/>
    </row>
    <row r="172" spans="4:4" ht="13">
      <c r="D172" s="91"/>
    </row>
    <row r="173" spans="4:4" ht="13">
      <c r="D173" s="91"/>
    </row>
    <row r="174" spans="4:4" ht="13">
      <c r="D174" s="91"/>
    </row>
    <row r="175" spans="4:4" ht="13">
      <c r="D175" s="91"/>
    </row>
    <row r="176" spans="4:4" ht="13">
      <c r="D176" s="91"/>
    </row>
    <row r="177" spans="4:4" ht="13">
      <c r="D177" s="91"/>
    </row>
    <row r="178" spans="4:4" ht="13">
      <c r="D178" s="91"/>
    </row>
    <row r="179" spans="4:4" ht="13">
      <c r="D179" s="91"/>
    </row>
    <row r="180" spans="4:4" ht="13">
      <c r="D180" s="91"/>
    </row>
    <row r="181" spans="4:4" ht="13">
      <c r="D181" s="91"/>
    </row>
    <row r="182" spans="4:4" ht="13">
      <c r="D182" s="91"/>
    </row>
    <row r="183" spans="4:4" ht="13">
      <c r="D183" s="91"/>
    </row>
    <row r="184" spans="4:4" ht="13">
      <c r="D184" s="91"/>
    </row>
    <row r="185" spans="4:4" ht="13">
      <c r="D185" s="91"/>
    </row>
    <row r="186" spans="4:4" ht="13">
      <c r="D186" s="91"/>
    </row>
    <row r="187" spans="4:4" ht="13">
      <c r="D187" s="91"/>
    </row>
    <row r="188" spans="4:4" ht="13">
      <c r="D188" s="91"/>
    </row>
    <row r="189" spans="4:4" ht="13">
      <c r="D189" s="91"/>
    </row>
    <row r="190" spans="4:4" ht="13">
      <c r="D190" s="91"/>
    </row>
    <row r="191" spans="4:4" ht="13">
      <c r="D191" s="91"/>
    </row>
    <row r="192" spans="4:4" ht="13">
      <c r="D192" s="91"/>
    </row>
    <row r="193" spans="4:4" ht="13">
      <c r="D193" s="91"/>
    </row>
    <row r="194" spans="4:4" ht="13">
      <c r="D194" s="91"/>
    </row>
    <row r="195" spans="4:4" ht="13">
      <c r="D195" s="91"/>
    </row>
    <row r="196" spans="4:4" ht="13">
      <c r="D196" s="91"/>
    </row>
    <row r="197" spans="4:4" ht="13">
      <c r="D197" s="91"/>
    </row>
    <row r="198" spans="4:4" ht="13">
      <c r="D198" s="91"/>
    </row>
    <row r="199" spans="4:4" ht="13">
      <c r="D199" s="91"/>
    </row>
    <row r="200" spans="4:4" ht="13">
      <c r="D200" s="91"/>
    </row>
    <row r="201" spans="4:4" ht="13">
      <c r="D201" s="91"/>
    </row>
    <row r="202" spans="4:4" ht="13">
      <c r="D202" s="91"/>
    </row>
    <row r="203" spans="4:4" ht="13">
      <c r="D203" s="91"/>
    </row>
    <row r="204" spans="4:4" ht="13">
      <c r="D204" s="91"/>
    </row>
    <row r="205" spans="4:4" ht="13">
      <c r="D205" s="91"/>
    </row>
    <row r="206" spans="4:4" ht="13">
      <c r="D206" s="91"/>
    </row>
    <row r="207" spans="4:4" ht="13">
      <c r="D207" s="91"/>
    </row>
    <row r="208" spans="4:4" ht="13">
      <c r="D208" s="91"/>
    </row>
    <row r="209" spans="4:4" ht="13">
      <c r="D209" s="91"/>
    </row>
    <row r="210" spans="4:4" ht="13">
      <c r="D210" s="91"/>
    </row>
    <row r="211" spans="4:4" ht="13">
      <c r="D211" s="91"/>
    </row>
    <row r="212" spans="4:4" ht="13">
      <c r="D212" s="91"/>
    </row>
    <row r="213" spans="4:4" ht="13">
      <c r="D213" s="91"/>
    </row>
    <row r="214" spans="4:4" ht="13">
      <c r="D214" s="91"/>
    </row>
    <row r="215" spans="4:4" ht="13">
      <c r="D215" s="91"/>
    </row>
    <row r="216" spans="4:4" ht="13">
      <c r="D216" s="91"/>
    </row>
    <row r="217" spans="4:4" ht="13">
      <c r="D217" s="91"/>
    </row>
    <row r="218" spans="4:4" ht="13">
      <c r="D218" s="91"/>
    </row>
    <row r="219" spans="4:4" ht="13">
      <c r="D219" s="91"/>
    </row>
    <row r="220" spans="4:4" ht="13">
      <c r="D220" s="91"/>
    </row>
    <row r="221" spans="4:4" ht="13">
      <c r="D221" s="91"/>
    </row>
    <row r="222" spans="4:4" ht="13">
      <c r="D222" s="91"/>
    </row>
    <row r="223" spans="4:4" ht="13">
      <c r="D223" s="91"/>
    </row>
    <row r="224" spans="4:4" ht="13">
      <c r="D224" s="91"/>
    </row>
    <row r="225" spans="4:4" ht="13">
      <c r="D225" s="91"/>
    </row>
    <row r="226" spans="4:4" ht="13">
      <c r="D226" s="91"/>
    </row>
    <row r="227" spans="4:4" ht="13">
      <c r="D227" s="91"/>
    </row>
    <row r="228" spans="4:4" ht="13">
      <c r="D228" s="91"/>
    </row>
    <row r="229" spans="4:4" ht="13">
      <c r="D229" s="91"/>
    </row>
    <row r="230" spans="4:4" ht="13">
      <c r="D230" s="91"/>
    </row>
    <row r="231" spans="4:4" ht="13">
      <c r="D231" s="91"/>
    </row>
    <row r="232" spans="4:4" ht="13">
      <c r="D232" s="91"/>
    </row>
    <row r="233" spans="4:4" ht="13">
      <c r="D233" s="91"/>
    </row>
    <row r="234" spans="4:4" ht="13">
      <c r="D234" s="91"/>
    </row>
    <row r="235" spans="4:4" ht="13">
      <c r="D235" s="91"/>
    </row>
    <row r="236" spans="4:4" ht="13">
      <c r="D236" s="91"/>
    </row>
    <row r="237" spans="4:4" ht="13">
      <c r="D237" s="91"/>
    </row>
    <row r="238" spans="4:4" ht="13">
      <c r="D238" s="91"/>
    </row>
    <row r="239" spans="4:4" ht="13">
      <c r="D239" s="91"/>
    </row>
    <row r="240" spans="4:4" ht="13">
      <c r="D240" s="91"/>
    </row>
    <row r="241" spans="4:4" ht="13">
      <c r="D241" s="91"/>
    </row>
    <row r="242" spans="4:4" ht="13">
      <c r="D242" s="91"/>
    </row>
    <row r="243" spans="4:4" ht="13">
      <c r="D243" s="91"/>
    </row>
    <row r="244" spans="4:4" ht="13">
      <c r="D244" s="91"/>
    </row>
    <row r="245" spans="4:4" ht="13">
      <c r="D245" s="91"/>
    </row>
    <row r="246" spans="4:4" ht="13">
      <c r="D246" s="91"/>
    </row>
    <row r="247" spans="4:4" ht="13">
      <c r="D247" s="91"/>
    </row>
    <row r="248" spans="4:4" ht="13">
      <c r="D248" s="91"/>
    </row>
    <row r="249" spans="4:4" ht="13">
      <c r="D249" s="91"/>
    </row>
    <row r="250" spans="4:4" ht="13">
      <c r="D250" s="91"/>
    </row>
    <row r="251" spans="4:4" ht="13">
      <c r="D251" s="91"/>
    </row>
    <row r="252" spans="4:4" ht="13">
      <c r="D252" s="91"/>
    </row>
    <row r="253" spans="4:4" ht="13">
      <c r="D253" s="91"/>
    </row>
    <row r="254" spans="4:4" ht="13">
      <c r="D254" s="91"/>
    </row>
    <row r="255" spans="4:4" ht="13">
      <c r="D255" s="91"/>
    </row>
    <row r="256" spans="4:4" ht="13">
      <c r="D256" s="91"/>
    </row>
    <row r="257" spans="4:4" ht="13">
      <c r="D257" s="91"/>
    </row>
    <row r="258" spans="4:4" ht="13">
      <c r="D258" s="91"/>
    </row>
    <row r="259" spans="4:4" ht="13">
      <c r="D259" s="91"/>
    </row>
    <row r="260" spans="4:4" ht="13">
      <c r="D260" s="91"/>
    </row>
    <row r="261" spans="4:4" ht="13">
      <c r="D261" s="91"/>
    </row>
    <row r="262" spans="4:4" ht="13">
      <c r="D262" s="91"/>
    </row>
    <row r="263" spans="4:4" ht="13">
      <c r="D263" s="91"/>
    </row>
    <row r="264" spans="4:4" ht="13">
      <c r="D264" s="91"/>
    </row>
    <row r="265" spans="4:4" ht="13">
      <c r="D265" s="91"/>
    </row>
    <row r="266" spans="4:4" ht="13">
      <c r="D266" s="91"/>
    </row>
    <row r="267" spans="4:4" ht="13">
      <c r="D267" s="91"/>
    </row>
    <row r="268" spans="4:4" ht="13">
      <c r="D268" s="91"/>
    </row>
    <row r="269" spans="4:4" ht="13">
      <c r="D269" s="91"/>
    </row>
    <row r="270" spans="4:4" ht="13">
      <c r="D270" s="91"/>
    </row>
    <row r="271" spans="4:4" ht="13">
      <c r="D271" s="91"/>
    </row>
    <row r="272" spans="4:4" ht="13">
      <c r="D272" s="91"/>
    </row>
    <row r="273" spans="4:4" ht="13">
      <c r="D273" s="91"/>
    </row>
    <row r="274" spans="4:4" ht="13">
      <c r="D274" s="91"/>
    </row>
    <row r="275" spans="4:4" ht="13">
      <c r="D275" s="91"/>
    </row>
    <row r="276" spans="4:4" ht="13">
      <c r="D276" s="91"/>
    </row>
    <row r="277" spans="4:4" ht="13">
      <c r="D277" s="91"/>
    </row>
    <row r="278" spans="4:4" ht="13">
      <c r="D278" s="91"/>
    </row>
    <row r="279" spans="4:4" ht="13">
      <c r="D279" s="91"/>
    </row>
    <row r="280" spans="4:4" ht="13">
      <c r="D280" s="91"/>
    </row>
    <row r="281" spans="4:4" ht="13">
      <c r="D281" s="91"/>
    </row>
    <row r="282" spans="4:4" ht="13">
      <c r="D282" s="91"/>
    </row>
    <row r="283" spans="4:4" ht="13">
      <c r="D283" s="91"/>
    </row>
    <row r="284" spans="4:4" ht="13">
      <c r="D284" s="91"/>
    </row>
    <row r="285" spans="4:4" ht="13">
      <c r="D285" s="91"/>
    </row>
    <row r="286" spans="4:4" ht="13">
      <c r="D286" s="91"/>
    </row>
    <row r="287" spans="4:4" ht="13">
      <c r="D287" s="91"/>
    </row>
    <row r="288" spans="4:4" ht="13">
      <c r="D288" s="91"/>
    </row>
    <row r="289" spans="4:4" ht="13">
      <c r="D289" s="91"/>
    </row>
    <row r="290" spans="4:4" ht="13">
      <c r="D290" s="91"/>
    </row>
    <row r="291" spans="4:4" ht="13">
      <c r="D291" s="91"/>
    </row>
    <row r="292" spans="4:4" ht="13">
      <c r="D292" s="91"/>
    </row>
    <row r="293" spans="4:4" ht="13">
      <c r="D293" s="91"/>
    </row>
    <row r="294" spans="4:4" ht="13">
      <c r="D294" s="91"/>
    </row>
    <row r="295" spans="4:4" ht="13">
      <c r="D295" s="91"/>
    </row>
    <row r="296" spans="4:4" ht="13">
      <c r="D296" s="91"/>
    </row>
    <row r="297" spans="4:4" ht="13">
      <c r="D297" s="91"/>
    </row>
    <row r="298" spans="4:4" ht="13">
      <c r="D298" s="91"/>
    </row>
    <row r="299" spans="4:4" ht="13">
      <c r="D299" s="91"/>
    </row>
    <row r="300" spans="4:4" ht="13">
      <c r="D300" s="91"/>
    </row>
    <row r="301" spans="4:4" ht="13">
      <c r="D301" s="91"/>
    </row>
    <row r="302" spans="4:4" ht="13">
      <c r="D302" s="91"/>
    </row>
    <row r="303" spans="4:4" ht="13">
      <c r="D303" s="91"/>
    </row>
    <row r="304" spans="4:4" ht="13">
      <c r="D304" s="91"/>
    </row>
    <row r="305" spans="4:4" ht="13">
      <c r="D305" s="91"/>
    </row>
    <row r="306" spans="4:4" ht="13">
      <c r="D306" s="91"/>
    </row>
    <row r="307" spans="4:4" ht="13">
      <c r="D307" s="91"/>
    </row>
    <row r="308" spans="4:4" ht="13">
      <c r="D308" s="91"/>
    </row>
    <row r="309" spans="4:4" ht="13">
      <c r="D309" s="91"/>
    </row>
    <row r="310" spans="4:4" ht="13">
      <c r="D310" s="91"/>
    </row>
    <row r="311" spans="4:4" ht="13">
      <c r="D311" s="91"/>
    </row>
    <row r="312" spans="4:4" ht="13">
      <c r="D312" s="91"/>
    </row>
    <row r="313" spans="4:4" ht="13">
      <c r="D313" s="91"/>
    </row>
    <row r="314" spans="4:4" ht="13">
      <c r="D314" s="91"/>
    </row>
    <row r="315" spans="4:4" ht="13">
      <c r="D315" s="91"/>
    </row>
    <row r="316" spans="4:4" ht="13">
      <c r="D316" s="91"/>
    </row>
    <row r="317" spans="4:4" ht="13">
      <c r="D317" s="91"/>
    </row>
    <row r="318" spans="4:4" ht="13">
      <c r="D318" s="91"/>
    </row>
    <row r="319" spans="4:4" ht="13">
      <c r="D319" s="91"/>
    </row>
    <row r="320" spans="4:4" ht="13">
      <c r="D320" s="91"/>
    </row>
    <row r="321" spans="4:4" ht="13">
      <c r="D321" s="91"/>
    </row>
    <row r="322" spans="4:4" ht="13">
      <c r="D322" s="91"/>
    </row>
    <row r="323" spans="4:4" ht="13">
      <c r="D323" s="91"/>
    </row>
    <row r="324" spans="4:4" ht="13">
      <c r="D324" s="91"/>
    </row>
    <row r="325" spans="4:4" ht="13">
      <c r="D325" s="91"/>
    </row>
    <row r="326" spans="4:4" ht="13">
      <c r="D326" s="91"/>
    </row>
    <row r="327" spans="4:4" ht="13">
      <c r="D327" s="91"/>
    </row>
    <row r="328" spans="4:4" ht="13">
      <c r="D328" s="91"/>
    </row>
    <row r="329" spans="4:4" ht="13">
      <c r="D329" s="91"/>
    </row>
    <row r="330" spans="4:4" ht="13">
      <c r="D330" s="91"/>
    </row>
    <row r="331" spans="4:4" ht="13">
      <c r="D331" s="91"/>
    </row>
    <row r="332" spans="4:4" ht="13">
      <c r="D332" s="91"/>
    </row>
    <row r="333" spans="4:4" ht="13">
      <c r="D333" s="91"/>
    </row>
    <row r="334" spans="4:4" ht="13">
      <c r="D334" s="91"/>
    </row>
    <row r="335" spans="4:4" ht="13">
      <c r="D335" s="91"/>
    </row>
    <row r="336" spans="4:4" ht="13">
      <c r="D336" s="91"/>
    </row>
    <row r="337" spans="4:4" ht="13">
      <c r="D337" s="91"/>
    </row>
    <row r="338" spans="4:4" ht="13">
      <c r="D338" s="91"/>
    </row>
    <row r="339" spans="4:4" ht="13">
      <c r="D339" s="91"/>
    </row>
    <row r="340" spans="4:4" ht="13">
      <c r="D340" s="91"/>
    </row>
    <row r="341" spans="4:4" ht="13">
      <c r="D341" s="91"/>
    </row>
    <row r="342" spans="4:4" ht="13">
      <c r="D342" s="91"/>
    </row>
    <row r="343" spans="4:4" ht="13">
      <c r="D343" s="91"/>
    </row>
    <row r="344" spans="4:4" ht="13">
      <c r="D344" s="91"/>
    </row>
    <row r="345" spans="4:4" ht="13">
      <c r="D345" s="91"/>
    </row>
    <row r="346" spans="4:4" ht="13">
      <c r="D346" s="91"/>
    </row>
    <row r="347" spans="4:4" ht="13">
      <c r="D347" s="91"/>
    </row>
    <row r="348" spans="4:4" ht="13">
      <c r="D348" s="91"/>
    </row>
    <row r="349" spans="4:4" ht="13">
      <c r="D349" s="91"/>
    </row>
    <row r="350" spans="4:4" ht="13">
      <c r="D350" s="91"/>
    </row>
    <row r="351" spans="4:4" ht="13">
      <c r="D351" s="91"/>
    </row>
    <row r="352" spans="4:4" ht="13">
      <c r="D352" s="91"/>
    </row>
    <row r="353" spans="4:4" ht="13">
      <c r="D353" s="91"/>
    </row>
    <row r="354" spans="4:4" ht="13">
      <c r="D354" s="91"/>
    </row>
    <row r="355" spans="4:4" ht="13">
      <c r="D355" s="91"/>
    </row>
    <row r="356" spans="4:4" ht="13">
      <c r="D356" s="91"/>
    </row>
    <row r="357" spans="4:4" ht="13">
      <c r="D357" s="91"/>
    </row>
    <row r="358" spans="4:4" ht="13">
      <c r="D358" s="91"/>
    </row>
    <row r="359" spans="4:4" ht="13">
      <c r="D359" s="91"/>
    </row>
    <row r="360" spans="4:4" ht="13">
      <c r="D360" s="91"/>
    </row>
    <row r="361" spans="4:4" ht="13">
      <c r="D361" s="91"/>
    </row>
    <row r="362" spans="4:4" ht="13">
      <c r="D362" s="91"/>
    </row>
    <row r="363" spans="4:4" ht="13">
      <c r="D363" s="91"/>
    </row>
    <row r="364" spans="4:4" ht="13">
      <c r="D364" s="91"/>
    </row>
    <row r="365" spans="4:4" ht="13">
      <c r="D365" s="91"/>
    </row>
    <row r="366" spans="4:4" ht="13">
      <c r="D366" s="91"/>
    </row>
    <row r="367" spans="4:4" ht="13">
      <c r="D367" s="91"/>
    </row>
    <row r="368" spans="4:4" ht="13">
      <c r="D368" s="91"/>
    </row>
    <row r="369" spans="4:4" ht="13">
      <c r="D369" s="91"/>
    </row>
    <row r="370" spans="4:4" ht="13">
      <c r="D370" s="91"/>
    </row>
    <row r="371" spans="4:4" ht="13">
      <c r="D371" s="91"/>
    </row>
    <row r="372" spans="4:4" ht="13">
      <c r="D372" s="91"/>
    </row>
    <row r="373" spans="4:4" ht="13">
      <c r="D373" s="91"/>
    </row>
    <row r="374" spans="4:4" ht="13">
      <c r="D374" s="91"/>
    </row>
    <row r="375" spans="4:4" ht="13">
      <c r="D375" s="91"/>
    </row>
    <row r="376" spans="4:4" ht="13">
      <c r="D376" s="91"/>
    </row>
    <row r="377" spans="4:4" ht="13">
      <c r="D377" s="91"/>
    </row>
    <row r="378" spans="4:4" ht="13">
      <c r="D378" s="91"/>
    </row>
    <row r="379" spans="4:4" ht="13">
      <c r="D379" s="91"/>
    </row>
    <row r="380" spans="4:4" ht="13">
      <c r="D380" s="91"/>
    </row>
    <row r="381" spans="4:4" ht="13">
      <c r="D381" s="91"/>
    </row>
    <row r="382" spans="4:4" ht="13">
      <c r="D382" s="91"/>
    </row>
    <row r="383" spans="4:4" ht="13">
      <c r="D383" s="91"/>
    </row>
    <row r="384" spans="4:4" ht="13">
      <c r="D384" s="91"/>
    </row>
    <row r="385" spans="4:4" ht="13">
      <c r="D385" s="91"/>
    </row>
    <row r="386" spans="4:4" ht="13">
      <c r="D386" s="91"/>
    </row>
    <row r="387" spans="4:4" ht="13">
      <c r="D387" s="91"/>
    </row>
    <row r="388" spans="4:4" ht="13">
      <c r="D388" s="91"/>
    </row>
    <row r="389" spans="4:4" ht="13">
      <c r="D389" s="91"/>
    </row>
    <row r="390" spans="4:4" ht="13">
      <c r="D390" s="91"/>
    </row>
    <row r="391" spans="4:4" ht="13">
      <c r="D391" s="91"/>
    </row>
    <row r="392" spans="4:4" ht="13">
      <c r="D392" s="91"/>
    </row>
    <row r="393" spans="4:4" ht="13">
      <c r="D393" s="91"/>
    </row>
    <row r="394" spans="4:4" ht="13">
      <c r="D394" s="91"/>
    </row>
    <row r="395" spans="4:4" ht="13">
      <c r="D395" s="91"/>
    </row>
    <row r="396" spans="4:4" ht="13">
      <c r="D396" s="91"/>
    </row>
    <row r="397" spans="4:4" ht="13">
      <c r="D397" s="91"/>
    </row>
    <row r="398" spans="4:4" ht="13">
      <c r="D398" s="91"/>
    </row>
    <row r="399" spans="4:4" ht="13">
      <c r="D399" s="91"/>
    </row>
    <row r="400" spans="4:4" ht="13">
      <c r="D400" s="91"/>
    </row>
    <row r="401" spans="4:4" ht="13">
      <c r="D401" s="91"/>
    </row>
    <row r="402" spans="4:4" ht="13">
      <c r="D402" s="91"/>
    </row>
    <row r="403" spans="4:4" ht="13">
      <c r="D403" s="91"/>
    </row>
    <row r="404" spans="4:4" ht="13">
      <c r="D404" s="91"/>
    </row>
    <row r="405" spans="4:4" ht="13">
      <c r="D405" s="91"/>
    </row>
    <row r="406" spans="4:4" ht="13">
      <c r="D406" s="91"/>
    </row>
    <row r="407" spans="4:4" ht="13">
      <c r="D407" s="91"/>
    </row>
    <row r="408" spans="4:4" ht="13">
      <c r="D408" s="91"/>
    </row>
    <row r="409" spans="4:4" ht="13">
      <c r="D409" s="91"/>
    </row>
    <row r="410" spans="4:4" ht="13">
      <c r="D410" s="91"/>
    </row>
    <row r="411" spans="4:4" ht="13">
      <c r="D411" s="91"/>
    </row>
    <row r="412" spans="4:4" ht="13">
      <c r="D412" s="91"/>
    </row>
    <row r="413" spans="4:4" ht="13">
      <c r="D413" s="91"/>
    </row>
    <row r="414" spans="4:4" ht="13">
      <c r="D414" s="91"/>
    </row>
    <row r="415" spans="4:4" ht="13">
      <c r="D415" s="91"/>
    </row>
    <row r="416" spans="4:4" ht="13">
      <c r="D416" s="91"/>
    </row>
    <row r="417" spans="4:4" ht="13">
      <c r="D417" s="91"/>
    </row>
    <row r="418" spans="4:4" ht="13">
      <c r="D418" s="91"/>
    </row>
    <row r="419" spans="4:4" ht="13">
      <c r="D419" s="91"/>
    </row>
    <row r="420" spans="4:4" ht="13">
      <c r="D420" s="91"/>
    </row>
    <row r="421" spans="4:4" ht="13">
      <c r="D421" s="91"/>
    </row>
    <row r="422" spans="4:4" ht="13">
      <c r="D422" s="91"/>
    </row>
    <row r="423" spans="4:4" ht="13">
      <c r="D423" s="91"/>
    </row>
    <row r="424" spans="4:4" ht="13">
      <c r="D424" s="91"/>
    </row>
    <row r="425" spans="4:4" ht="13">
      <c r="D425" s="91"/>
    </row>
    <row r="426" spans="4:4" ht="13">
      <c r="D426" s="91"/>
    </row>
    <row r="427" spans="4:4" ht="13">
      <c r="D427" s="91"/>
    </row>
    <row r="428" spans="4:4" ht="13">
      <c r="D428" s="91"/>
    </row>
    <row r="429" spans="4:4" ht="13">
      <c r="D429" s="91"/>
    </row>
    <row r="430" spans="4:4" ht="13">
      <c r="D430" s="91"/>
    </row>
    <row r="431" spans="4:4" ht="13">
      <c r="D431" s="91"/>
    </row>
    <row r="432" spans="4:4" ht="13">
      <c r="D432" s="91"/>
    </row>
    <row r="433" spans="4:4" ht="13">
      <c r="D433" s="91"/>
    </row>
    <row r="434" spans="4:4" ht="13">
      <c r="D434" s="91"/>
    </row>
    <row r="435" spans="4:4" ht="13">
      <c r="D435" s="91"/>
    </row>
    <row r="436" spans="4:4" ht="13">
      <c r="D436" s="91"/>
    </row>
    <row r="437" spans="4:4" ht="13">
      <c r="D437" s="91"/>
    </row>
    <row r="438" spans="4:4" ht="13">
      <c r="D438" s="91"/>
    </row>
    <row r="439" spans="4:4" ht="13">
      <c r="D439" s="91"/>
    </row>
    <row r="440" spans="4:4" ht="13">
      <c r="D440" s="91"/>
    </row>
    <row r="441" spans="4:4" ht="13">
      <c r="D441" s="91"/>
    </row>
    <row r="442" spans="4:4" ht="13">
      <c r="D442" s="91"/>
    </row>
    <row r="443" spans="4:4" ht="13">
      <c r="D443" s="91"/>
    </row>
    <row r="444" spans="4:4" ht="13">
      <c r="D444" s="91"/>
    </row>
    <row r="445" spans="4:4" ht="13">
      <c r="D445" s="91"/>
    </row>
    <row r="446" spans="4:4" ht="13">
      <c r="D446" s="91"/>
    </row>
    <row r="447" spans="4:4" ht="13">
      <c r="D447" s="91"/>
    </row>
    <row r="448" spans="4:4" ht="13">
      <c r="D448" s="91"/>
    </row>
    <row r="449" spans="4:4" ht="13">
      <c r="D449" s="91"/>
    </row>
    <row r="450" spans="4:4" ht="13">
      <c r="D450" s="91"/>
    </row>
    <row r="451" spans="4:4" ht="13">
      <c r="D451" s="91"/>
    </row>
    <row r="452" spans="4:4" ht="13">
      <c r="D452" s="91"/>
    </row>
    <row r="453" spans="4:4" ht="13">
      <c r="D453" s="91"/>
    </row>
    <row r="454" spans="4:4" ht="13">
      <c r="D454" s="91"/>
    </row>
    <row r="455" spans="4:4" ht="13">
      <c r="D455" s="91"/>
    </row>
    <row r="456" spans="4:4" ht="13">
      <c r="D456" s="91"/>
    </row>
    <row r="457" spans="4:4" ht="13">
      <c r="D457" s="91"/>
    </row>
    <row r="458" spans="4:4" ht="13">
      <c r="D458" s="91"/>
    </row>
    <row r="459" spans="4:4" ht="13">
      <c r="D459" s="91"/>
    </row>
    <row r="460" spans="4:4" ht="13">
      <c r="D460" s="91"/>
    </row>
    <row r="461" spans="4:4" ht="13">
      <c r="D461" s="91"/>
    </row>
    <row r="462" spans="4:4" ht="13">
      <c r="D462" s="91"/>
    </row>
    <row r="463" spans="4:4" ht="13">
      <c r="D463" s="91"/>
    </row>
    <row r="464" spans="4:4" ht="13">
      <c r="D464" s="91"/>
    </row>
    <row r="465" spans="4:4" ht="13">
      <c r="D465" s="91"/>
    </row>
    <row r="466" spans="4:4" ht="13">
      <c r="D466" s="91"/>
    </row>
    <row r="467" spans="4:4" ht="13">
      <c r="D467" s="91"/>
    </row>
    <row r="468" spans="4:4" ht="13">
      <c r="D468" s="91"/>
    </row>
    <row r="469" spans="4:4" ht="13">
      <c r="D469" s="91"/>
    </row>
    <row r="470" spans="4:4" ht="13">
      <c r="D470" s="91"/>
    </row>
    <row r="471" spans="4:4" ht="13">
      <c r="D471" s="91"/>
    </row>
    <row r="472" spans="4:4" ht="13">
      <c r="D472" s="91"/>
    </row>
    <row r="473" spans="4:4" ht="13">
      <c r="D473" s="91"/>
    </row>
    <row r="474" spans="4:4" ht="13">
      <c r="D474" s="91"/>
    </row>
    <row r="475" spans="4:4" ht="13">
      <c r="D475" s="91"/>
    </row>
    <row r="476" spans="4:4" ht="13">
      <c r="D476" s="91"/>
    </row>
    <row r="477" spans="4:4" ht="13">
      <c r="D477" s="91"/>
    </row>
    <row r="478" spans="4:4" ht="13">
      <c r="D478" s="91"/>
    </row>
    <row r="479" spans="4:4" ht="13">
      <c r="D479" s="91"/>
    </row>
    <row r="480" spans="4:4" ht="13">
      <c r="D480" s="91"/>
    </row>
    <row r="481" spans="4:4" ht="13">
      <c r="D481" s="91"/>
    </row>
    <row r="482" spans="4:4" ht="13">
      <c r="D482" s="91"/>
    </row>
    <row r="483" spans="4:4" ht="13">
      <c r="D483" s="91"/>
    </row>
    <row r="484" spans="4:4" ht="13">
      <c r="D484" s="91"/>
    </row>
    <row r="485" spans="4:4" ht="13">
      <c r="D485" s="91"/>
    </row>
    <row r="486" spans="4:4" ht="13">
      <c r="D486" s="91"/>
    </row>
    <row r="487" spans="4:4" ht="13">
      <c r="D487" s="91"/>
    </row>
    <row r="488" spans="4:4" ht="13">
      <c r="D488" s="91"/>
    </row>
    <row r="489" spans="4:4" ht="13">
      <c r="D489" s="91"/>
    </row>
    <row r="490" spans="4:4" ht="13">
      <c r="D490" s="91"/>
    </row>
    <row r="491" spans="4:4" ht="13">
      <c r="D491" s="91"/>
    </row>
    <row r="492" spans="4:4" ht="13">
      <c r="D492" s="91"/>
    </row>
    <row r="493" spans="4:4" ht="13">
      <c r="D493" s="91"/>
    </row>
    <row r="494" spans="4:4" ht="13">
      <c r="D494" s="91"/>
    </row>
    <row r="495" spans="4:4" ht="13">
      <c r="D495" s="91"/>
    </row>
    <row r="496" spans="4:4" ht="13">
      <c r="D496" s="91"/>
    </row>
    <row r="497" spans="4:4" ht="13">
      <c r="D497" s="91"/>
    </row>
    <row r="498" spans="4:4" ht="13">
      <c r="D498" s="91"/>
    </row>
    <row r="499" spans="4:4" ht="13">
      <c r="D499" s="91"/>
    </row>
    <row r="500" spans="4:4" ht="13">
      <c r="D500" s="91"/>
    </row>
    <row r="501" spans="4:4" ht="13">
      <c r="D501" s="91"/>
    </row>
    <row r="502" spans="4:4" ht="13">
      <c r="D502" s="91"/>
    </row>
    <row r="503" spans="4:4" ht="13">
      <c r="D503" s="91"/>
    </row>
    <row r="504" spans="4:4" ht="13">
      <c r="D504" s="91"/>
    </row>
    <row r="505" spans="4:4" ht="13">
      <c r="D505" s="91"/>
    </row>
    <row r="506" spans="4:4" ht="13">
      <c r="D506" s="91"/>
    </row>
    <row r="507" spans="4:4" ht="13">
      <c r="D507" s="91"/>
    </row>
    <row r="508" spans="4:4" ht="13">
      <c r="D508" s="91"/>
    </row>
    <row r="509" spans="4:4" ht="13">
      <c r="D509" s="91"/>
    </row>
    <row r="510" spans="4:4" ht="13">
      <c r="D510" s="91"/>
    </row>
    <row r="511" spans="4:4" ht="13">
      <c r="D511" s="91"/>
    </row>
    <row r="512" spans="4:4" ht="13">
      <c r="D512" s="91"/>
    </row>
    <row r="513" spans="4:4" ht="13">
      <c r="D513" s="91"/>
    </row>
    <row r="514" spans="4:4" ht="13">
      <c r="D514" s="91"/>
    </row>
    <row r="515" spans="4:4" ht="13">
      <c r="D515" s="91"/>
    </row>
    <row r="516" spans="4:4" ht="13">
      <c r="D516" s="91"/>
    </row>
    <row r="517" spans="4:4" ht="13">
      <c r="D517" s="91"/>
    </row>
    <row r="518" spans="4:4" ht="13">
      <c r="D518" s="91"/>
    </row>
    <row r="519" spans="4:4" ht="13">
      <c r="D519" s="91"/>
    </row>
    <row r="520" spans="4:4" ht="13">
      <c r="D520" s="91"/>
    </row>
    <row r="521" spans="4:4" ht="13">
      <c r="D521" s="91"/>
    </row>
    <row r="522" spans="4:4" ht="13">
      <c r="D522" s="91"/>
    </row>
    <row r="523" spans="4:4" ht="13">
      <c r="D523" s="91"/>
    </row>
    <row r="524" spans="4:4" ht="13">
      <c r="D524" s="91"/>
    </row>
    <row r="525" spans="4:4" ht="13">
      <c r="D525" s="91"/>
    </row>
    <row r="526" spans="4:4" ht="13">
      <c r="D526" s="91"/>
    </row>
    <row r="527" spans="4:4" ht="13">
      <c r="D527" s="91"/>
    </row>
    <row r="528" spans="4:4" ht="13">
      <c r="D528" s="91"/>
    </row>
    <row r="529" spans="4:4" ht="13">
      <c r="D529" s="91"/>
    </row>
    <row r="530" spans="4:4" ht="13">
      <c r="D530" s="91"/>
    </row>
    <row r="531" spans="4:4" ht="13">
      <c r="D531" s="91"/>
    </row>
    <row r="532" spans="4:4" ht="13">
      <c r="D532" s="91"/>
    </row>
    <row r="533" spans="4:4" ht="13">
      <c r="D533" s="91"/>
    </row>
    <row r="534" spans="4:4" ht="13">
      <c r="D534" s="91"/>
    </row>
    <row r="535" spans="4:4" ht="13">
      <c r="D535" s="91"/>
    </row>
    <row r="536" spans="4:4" ht="13">
      <c r="D536" s="91"/>
    </row>
    <row r="537" spans="4:4" ht="13">
      <c r="D537" s="91"/>
    </row>
    <row r="538" spans="4:4" ht="13">
      <c r="D538" s="91"/>
    </row>
    <row r="539" spans="4:4" ht="13">
      <c r="D539" s="91"/>
    </row>
    <row r="540" spans="4:4" ht="13">
      <c r="D540" s="91"/>
    </row>
    <row r="541" spans="4:4" ht="13">
      <c r="D541" s="91"/>
    </row>
    <row r="542" spans="4:4" ht="13">
      <c r="D542" s="91"/>
    </row>
    <row r="543" spans="4:4" ht="13">
      <c r="D543" s="91"/>
    </row>
    <row r="544" spans="4:4" ht="13">
      <c r="D544" s="91"/>
    </row>
    <row r="545" spans="4:4" ht="13">
      <c r="D545" s="91"/>
    </row>
    <row r="546" spans="4:4" ht="13">
      <c r="D546" s="91"/>
    </row>
    <row r="547" spans="4:4" ht="13">
      <c r="D547" s="91"/>
    </row>
    <row r="548" spans="4:4" ht="13">
      <c r="D548" s="91"/>
    </row>
    <row r="549" spans="4:4" ht="13">
      <c r="D549" s="91"/>
    </row>
    <row r="550" spans="4:4" ht="13">
      <c r="D550" s="91"/>
    </row>
    <row r="551" spans="4:4" ht="13">
      <c r="D551" s="91"/>
    </row>
    <row r="552" spans="4:4" ht="13">
      <c r="D552" s="91"/>
    </row>
    <row r="553" spans="4:4" ht="13">
      <c r="D553" s="91"/>
    </row>
    <row r="554" spans="4:4" ht="13">
      <c r="D554" s="91"/>
    </row>
    <row r="555" spans="4:4" ht="13">
      <c r="D555" s="91"/>
    </row>
    <row r="556" spans="4:4" ht="13">
      <c r="D556" s="91"/>
    </row>
    <row r="557" spans="4:4" ht="13">
      <c r="D557" s="91"/>
    </row>
    <row r="558" spans="4:4" ht="13">
      <c r="D558" s="91"/>
    </row>
    <row r="559" spans="4:4" ht="13">
      <c r="D559" s="91"/>
    </row>
    <row r="560" spans="4:4" ht="13">
      <c r="D560" s="91"/>
    </row>
    <row r="561" spans="4:4" ht="13">
      <c r="D561" s="91"/>
    </row>
    <row r="562" spans="4:4" ht="13">
      <c r="D562" s="91"/>
    </row>
    <row r="563" spans="4:4" ht="13">
      <c r="D563" s="91"/>
    </row>
    <row r="564" spans="4:4" ht="13">
      <c r="D564" s="91"/>
    </row>
    <row r="565" spans="4:4" ht="13">
      <c r="D565" s="91"/>
    </row>
    <row r="566" spans="4:4" ht="13">
      <c r="D566" s="91"/>
    </row>
    <row r="567" spans="4:4" ht="13">
      <c r="D567" s="91"/>
    </row>
    <row r="568" spans="4:4" ht="13">
      <c r="D568" s="91"/>
    </row>
    <row r="569" spans="4:4" ht="13">
      <c r="D569" s="91"/>
    </row>
    <row r="570" spans="4:4" ht="13">
      <c r="D570" s="91"/>
    </row>
    <row r="571" spans="4:4" ht="13">
      <c r="D571" s="91"/>
    </row>
    <row r="572" spans="4:4" ht="13">
      <c r="D572" s="91"/>
    </row>
    <row r="573" spans="4:4" ht="13">
      <c r="D573" s="91"/>
    </row>
    <row r="574" spans="4:4" ht="13">
      <c r="D574" s="91"/>
    </row>
    <row r="575" spans="4:4" ht="13">
      <c r="D575" s="91"/>
    </row>
    <row r="576" spans="4:4" ht="13">
      <c r="D576" s="91"/>
    </row>
    <row r="577" spans="4:4" ht="13">
      <c r="D577" s="91"/>
    </row>
    <row r="578" spans="4:4" ht="13">
      <c r="D578" s="91"/>
    </row>
    <row r="579" spans="4:4" ht="13">
      <c r="D579" s="91"/>
    </row>
    <row r="580" spans="4:4" ht="13">
      <c r="D580" s="91"/>
    </row>
    <row r="581" spans="4:4" ht="13">
      <c r="D581" s="91"/>
    </row>
    <row r="582" spans="4:4" ht="13">
      <c r="D582" s="91"/>
    </row>
    <row r="583" spans="4:4" ht="13">
      <c r="D583" s="91"/>
    </row>
    <row r="584" spans="4:4" ht="13">
      <c r="D584" s="91"/>
    </row>
    <row r="585" spans="4:4" ht="13">
      <c r="D585" s="91"/>
    </row>
    <row r="586" spans="4:4" ht="13">
      <c r="D586" s="91"/>
    </row>
    <row r="587" spans="4:4" ht="13">
      <c r="D587" s="91"/>
    </row>
    <row r="588" spans="4:4" ht="13">
      <c r="D588" s="91"/>
    </row>
    <row r="589" spans="4:4" ht="13">
      <c r="D589" s="91"/>
    </row>
    <row r="590" spans="4:4" ht="13">
      <c r="D590" s="91"/>
    </row>
    <row r="591" spans="4:4" ht="13">
      <c r="D591" s="91"/>
    </row>
    <row r="592" spans="4:4" ht="13">
      <c r="D592" s="91"/>
    </row>
    <row r="593" spans="4:4" ht="13">
      <c r="D593" s="91"/>
    </row>
    <row r="594" spans="4:4" ht="13">
      <c r="D594" s="91"/>
    </row>
    <row r="595" spans="4:4" ht="13">
      <c r="D595" s="91"/>
    </row>
    <row r="596" spans="4:4" ht="13">
      <c r="D596" s="91"/>
    </row>
    <row r="597" spans="4:4" ht="13">
      <c r="D597" s="91"/>
    </row>
    <row r="598" spans="4:4" ht="13">
      <c r="D598" s="91"/>
    </row>
    <row r="599" spans="4:4" ht="13">
      <c r="D599" s="91"/>
    </row>
    <row r="600" spans="4:4" ht="13">
      <c r="D600" s="91"/>
    </row>
    <row r="601" spans="4:4" ht="13">
      <c r="D601" s="91"/>
    </row>
    <row r="602" spans="4:4" ht="13">
      <c r="D602" s="91"/>
    </row>
    <row r="603" spans="4:4" ht="13">
      <c r="D603" s="91"/>
    </row>
    <row r="604" spans="4:4" ht="13">
      <c r="D604" s="91"/>
    </row>
    <row r="605" spans="4:4" ht="13">
      <c r="D605" s="91"/>
    </row>
    <row r="606" spans="4:4" ht="13">
      <c r="D606" s="91"/>
    </row>
    <row r="607" spans="4:4" ht="13">
      <c r="D607" s="91"/>
    </row>
    <row r="608" spans="4:4" ht="13">
      <c r="D608" s="91"/>
    </row>
    <row r="609" spans="4:4" ht="13">
      <c r="D609" s="91"/>
    </row>
    <row r="610" spans="4:4" ht="13">
      <c r="D610" s="91"/>
    </row>
    <row r="611" spans="4:4" ht="13">
      <c r="D611" s="91"/>
    </row>
    <row r="612" spans="4:4" ht="13">
      <c r="D612" s="91"/>
    </row>
    <row r="613" spans="4:4" ht="13">
      <c r="D613" s="91"/>
    </row>
    <row r="614" spans="4:4" ht="13">
      <c r="D614" s="91"/>
    </row>
    <row r="615" spans="4:4" ht="13">
      <c r="D615" s="91"/>
    </row>
    <row r="616" spans="4:4" ht="13">
      <c r="D616" s="91"/>
    </row>
    <row r="617" spans="4:4" ht="13">
      <c r="D617" s="91"/>
    </row>
    <row r="618" spans="4:4" ht="13">
      <c r="D618" s="91"/>
    </row>
    <row r="619" spans="4:4" ht="13">
      <c r="D619" s="91"/>
    </row>
    <row r="620" spans="4:4" ht="13">
      <c r="D620" s="91"/>
    </row>
    <row r="621" spans="4:4" ht="13">
      <c r="D621" s="91"/>
    </row>
    <row r="622" spans="4:4" ht="13">
      <c r="D622" s="91"/>
    </row>
    <row r="623" spans="4:4" ht="13">
      <c r="D623" s="91"/>
    </row>
    <row r="624" spans="4:4" ht="13">
      <c r="D624" s="91"/>
    </row>
    <row r="625" spans="4:4" ht="13">
      <c r="D625" s="91"/>
    </row>
    <row r="626" spans="4:4" ht="13">
      <c r="D626" s="91"/>
    </row>
    <row r="627" spans="4:4" ht="13">
      <c r="D627" s="91"/>
    </row>
    <row r="628" spans="4:4" ht="13">
      <c r="D628" s="91"/>
    </row>
    <row r="629" spans="4:4" ht="13">
      <c r="D629" s="91"/>
    </row>
    <row r="630" spans="4:4" ht="13">
      <c r="D630" s="91"/>
    </row>
    <row r="631" spans="4:4" ht="13">
      <c r="D631" s="91"/>
    </row>
    <row r="632" spans="4:4" ht="13">
      <c r="D632" s="91"/>
    </row>
    <row r="633" spans="4:4" ht="13">
      <c r="D633" s="91"/>
    </row>
    <row r="634" spans="4:4" ht="13">
      <c r="D634" s="91"/>
    </row>
    <row r="635" spans="4:4" ht="13">
      <c r="D635" s="91"/>
    </row>
    <row r="636" spans="4:4" ht="13">
      <c r="D636" s="91"/>
    </row>
    <row r="637" spans="4:4" ht="13">
      <c r="D637" s="91"/>
    </row>
    <row r="638" spans="4:4" ht="13">
      <c r="D638" s="91"/>
    </row>
    <row r="639" spans="4:4" ht="13">
      <c r="D639" s="91"/>
    </row>
    <row r="640" spans="4:4" ht="13">
      <c r="D640" s="91"/>
    </row>
    <row r="641" spans="4:4" ht="13">
      <c r="D641" s="91"/>
    </row>
    <row r="642" spans="4:4" ht="13">
      <c r="D642" s="91"/>
    </row>
    <row r="643" spans="4:4" ht="13">
      <c r="D643" s="91"/>
    </row>
    <row r="644" spans="4:4" ht="13">
      <c r="D644" s="91"/>
    </row>
    <row r="645" spans="4:4" ht="13">
      <c r="D645" s="91"/>
    </row>
    <row r="646" spans="4:4" ht="13">
      <c r="D646" s="91"/>
    </row>
    <row r="647" spans="4:4" ht="13">
      <c r="D647" s="91"/>
    </row>
    <row r="648" spans="4:4" ht="13">
      <c r="D648" s="91"/>
    </row>
    <row r="649" spans="4:4" ht="13">
      <c r="D649" s="91"/>
    </row>
    <row r="650" spans="4:4" ht="13">
      <c r="D650" s="91"/>
    </row>
    <row r="651" spans="4:4" ht="13">
      <c r="D651" s="91"/>
    </row>
    <row r="652" spans="4:4" ht="13">
      <c r="D652" s="91"/>
    </row>
    <row r="653" spans="4:4" ht="13">
      <c r="D653" s="91"/>
    </row>
    <row r="654" spans="4:4" ht="13">
      <c r="D654" s="91"/>
    </row>
    <row r="655" spans="4:4" ht="13">
      <c r="D655" s="91"/>
    </row>
    <row r="656" spans="4:4" ht="13">
      <c r="D656" s="91"/>
    </row>
    <row r="657" spans="4:4" ht="13">
      <c r="D657" s="91"/>
    </row>
    <row r="658" spans="4:4" ht="13">
      <c r="D658" s="91"/>
    </row>
    <row r="659" spans="4:4" ht="13">
      <c r="D659" s="91"/>
    </row>
    <row r="660" spans="4:4" ht="13">
      <c r="D660" s="91"/>
    </row>
    <row r="661" spans="4:4" ht="13">
      <c r="D661" s="91"/>
    </row>
    <row r="662" spans="4:4" ht="13">
      <c r="D662" s="91"/>
    </row>
    <row r="663" spans="4:4" ht="13">
      <c r="D663" s="91"/>
    </row>
    <row r="664" spans="4:4" ht="13">
      <c r="D664" s="91"/>
    </row>
    <row r="665" spans="4:4" ht="13">
      <c r="D665" s="91"/>
    </row>
    <row r="666" spans="4:4" ht="13">
      <c r="D666" s="91"/>
    </row>
    <row r="667" spans="4:4" ht="13">
      <c r="D667" s="91"/>
    </row>
    <row r="668" spans="4:4" ht="13">
      <c r="D668" s="91"/>
    </row>
    <row r="669" spans="4:4" ht="13">
      <c r="D669" s="91"/>
    </row>
    <row r="670" spans="4:4" ht="13">
      <c r="D670" s="91"/>
    </row>
    <row r="671" spans="4:4" ht="13">
      <c r="D671" s="91"/>
    </row>
    <row r="672" spans="4:4" ht="13">
      <c r="D672" s="91"/>
    </row>
    <row r="673" spans="4:4" ht="13">
      <c r="D673" s="91"/>
    </row>
    <row r="674" spans="4:4" ht="13">
      <c r="D674" s="91"/>
    </row>
    <row r="675" spans="4:4" ht="13">
      <c r="D675" s="91"/>
    </row>
    <row r="676" spans="4:4" ht="13">
      <c r="D676" s="91"/>
    </row>
    <row r="677" spans="4:4" ht="13">
      <c r="D677" s="91"/>
    </row>
    <row r="678" spans="4:4" ht="13">
      <c r="D678" s="91"/>
    </row>
    <row r="679" spans="4:4" ht="13">
      <c r="D679" s="91"/>
    </row>
    <row r="680" spans="4:4" ht="13">
      <c r="D680" s="91"/>
    </row>
    <row r="681" spans="4:4" ht="13">
      <c r="D681" s="91"/>
    </row>
    <row r="682" spans="4:4" ht="13">
      <c r="D682" s="91"/>
    </row>
    <row r="683" spans="4:4" ht="13">
      <c r="D683" s="91"/>
    </row>
    <row r="684" spans="4:4" ht="13">
      <c r="D684" s="91"/>
    </row>
    <row r="685" spans="4:4" ht="13">
      <c r="D685" s="91"/>
    </row>
    <row r="686" spans="4:4" ht="13">
      <c r="D686" s="91"/>
    </row>
    <row r="687" spans="4:4" ht="13">
      <c r="D687" s="91"/>
    </row>
    <row r="688" spans="4:4" ht="13">
      <c r="D688" s="91"/>
    </row>
    <row r="689" spans="4:4" ht="13">
      <c r="D689" s="91"/>
    </row>
    <row r="690" spans="4:4" ht="13">
      <c r="D690" s="91"/>
    </row>
    <row r="691" spans="4:4" ht="13">
      <c r="D691" s="91"/>
    </row>
    <row r="692" spans="4:4" ht="13">
      <c r="D692" s="91"/>
    </row>
    <row r="693" spans="4:4" ht="13">
      <c r="D693" s="91"/>
    </row>
    <row r="694" spans="4:4" ht="13">
      <c r="D694" s="91"/>
    </row>
    <row r="695" spans="4:4" ht="13">
      <c r="D695" s="91"/>
    </row>
    <row r="696" spans="4:4" ht="13">
      <c r="D696" s="91"/>
    </row>
    <row r="697" spans="4:4" ht="13">
      <c r="D697" s="91"/>
    </row>
    <row r="698" spans="4:4" ht="13">
      <c r="D698" s="91"/>
    </row>
    <row r="699" spans="4:4" ht="13">
      <c r="D699" s="91"/>
    </row>
    <row r="700" spans="4:4" ht="13">
      <c r="D700" s="91"/>
    </row>
    <row r="701" spans="4:4" ht="13">
      <c r="D701" s="91"/>
    </row>
    <row r="702" spans="4:4" ht="13">
      <c r="D702" s="91"/>
    </row>
    <row r="703" spans="4:4" ht="13">
      <c r="D703" s="91"/>
    </row>
    <row r="704" spans="4:4" ht="13">
      <c r="D704" s="91"/>
    </row>
    <row r="705" spans="4:4" ht="13">
      <c r="D705" s="91"/>
    </row>
    <row r="706" spans="4:4" ht="13">
      <c r="D706" s="91"/>
    </row>
    <row r="707" spans="4:4" ht="13">
      <c r="D707" s="91"/>
    </row>
    <row r="708" spans="4:4" ht="13">
      <c r="D708" s="91"/>
    </row>
    <row r="709" spans="4:4" ht="13">
      <c r="D709" s="91"/>
    </row>
    <row r="710" spans="4:4" ht="13">
      <c r="D710" s="91"/>
    </row>
    <row r="711" spans="4:4" ht="13">
      <c r="D711" s="91"/>
    </row>
    <row r="712" spans="4:4" ht="13">
      <c r="D712" s="91"/>
    </row>
    <row r="713" spans="4:4" ht="13">
      <c r="D713" s="91"/>
    </row>
    <row r="714" spans="4:4" ht="13">
      <c r="D714" s="91"/>
    </row>
    <row r="715" spans="4:4" ht="13">
      <c r="D715" s="91"/>
    </row>
    <row r="716" spans="4:4" ht="13">
      <c r="D716" s="91"/>
    </row>
    <row r="717" spans="4:4" ht="13">
      <c r="D717" s="91"/>
    </row>
    <row r="718" spans="4:4" ht="13">
      <c r="D718" s="91"/>
    </row>
    <row r="719" spans="4:4" ht="13">
      <c r="D719" s="91"/>
    </row>
    <row r="720" spans="4:4" ht="13">
      <c r="D720" s="91"/>
    </row>
    <row r="721" spans="4:4" ht="13">
      <c r="D721" s="91"/>
    </row>
    <row r="722" spans="4:4" ht="13">
      <c r="D722" s="91"/>
    </row>
    <row r="723" spans="4:4" ht="13">
      <c r="D723" s="91"/>
    </row>
    <row r="724" spans="4:4" ht="13">
      <c r="D724" s="91"/>
    </row>
    <row r="725" spans="4:4" ht="13">
      <c r="D725" s="91"/>
    </row>
    <row r="726" spans="4:4" ht="13">
      <c r="D726" s="91"/>
    </row>
    <row r="727" spans="4:4" ht="13">
      <c r="D727" s="91"/>
    </row>
    <row r="728" spans="4:4" ht="13">
      <c r="D728" s="91"/>
    </row>
    <row r="729" spans="4:4" ht="13">
      <c r="D729" s="91"/>
    </row>
    <row r="730" spans="4:4" ht="13">
      <c r="D730" s="91"/>
    </row>
    <row r="731" spans="4:4" ht="13">
      <c r="D731" s="91"/>
    </row>
    <row r="732" spans="4:4" ht="13">
      <c r="D732" s="91"/>
    </row>
    <row r="733" spans="4:4" ht="13">
      <c r="D733" s="91"/>
    </row>
    <row r="734" spans="4:4" ht="13">
      <c r="D734" s="91"/>
    </row>
    <row r="735" spans="4:4" ht="13">
      <c r="D735" s="91"/>
    </row>
    <row r="736" spans="4:4" ht="13">
      <c r="D736" s="91"/>
    </row>
    <row r="737" spans="4:4" ht="13">
      <c r="D737" s="91"/>
    </row>
    <row r="738" spans="4:4" ht="13">
      <c r="D738" s="91"/>
    </row>
    <row r="739" spans="4:4" ht="13">
      <c r="D739" s="91"/>
    </row>
    <row r="740" spans="4:4" ht="13">
      <c r="D740" s="91"/>
    </row>
    <row r="741" spans="4:4" ht="13">
      <c r="D741" s="91"/>
    </row>
    <row r="742" spans="4:4" ht="13">
      <c r="D742" s="91"/>
    </row>
    <row r="743" spans="4:4" ht="13">
      <c r="D743" s="91"/>
    </row>
    <row r="744" spans="4:4" ht="13">
      <c r="D744" s="91"/>
    </row>
    <row r="745" spans="4:4" ht="13">
      <c r="D745" s="91"/>
    </row>
    <row r="746" spans="4:4" ht="13">
      <c r="D746" s="91"/>
    </row>
    <row r="747" spans="4:4" ht="13">
      <c r="D747" s="91"/>
    </row>
    <row r="748" spans="4:4" ht="13">
      <c r="D748" s="91"/>
    </row>
    <row r="749" spans="4:4" ht="13">
      <c r="D749" s="91"/>
    </row>
    <row r="750" spans="4:4" ht="13">
      <c r="D750" s="91"/>
    </row>
    <row r="751" spans="4:4" ht="13">
      <c r="D751" s="91"/>
    </row>
    <row r="752" spans="4:4" ht="13">
      <c r="D752" s="91"/>
    </row>
    <row r="753" spans="4:4" ht="13">
      <c r="D753" s="91"/>
    </row>
    <row r="754" spans="4:4" ht="13">
      <c r="D754" s="91"/>
    </row>
    <row r="755" spans="4:4" ht="13">
      <c r="D755" s="91"/>
    </row>
    <row r="756" spans="4:4" ht="13">
      <c r="D756" s="91"/>
    </row>
    <row r="757" spans="4:4" ht="13">
      <c r="D757" s="91"/>
    </row>
    <row r="758" spans="4:4" ht="13">
      <c r="D758" s="91"/>
    </row>
    <row r="759" spans="4:4" ht="13">
      <c r="D759" s="91"/>
    </row>
    <row r="760" spans="4:4" ht="13">
      <c r="D760" s="91"/>
    </row>
    <row r="761" spans="4:4" ht="13">
      <c r="D761" s="91"/>
    </row>
    <row r="762" spans="4:4" ht="13">
      <c r="D762" s="91"/>
    </row>
    <row r="763" spans="4:4" ht="13">
      <c r="D763" s="91"/>
    </row>
    <row r="764" spans="4:4" ht="13">
      <c r="D764" s="91"/>
    </row>
    <row r="765" spans="4:4" ht="13">
      <c r="D765" s="91"/>
    </row>
    <row r="766" spans="4:4" ht="13">
      <c r="D766" s="91"/>
    </row>
    <row r="767" spans="4:4" ht="13">
      <c r="D767" s="91"/>
    </row>
    <row r="768" spans="4:4" ht="13">
      <c r="D768" s="91"/>
    </row>
    <row r="769" spans="4:4" ht="13">
      <c r="D769" s="91"/>
    </row>
    <row r="770" spans="4:4" ht="13">
      <c r="D770" s="91"/>
    </row>
    <row r="771" spans="4:4" ht="13">
      <c r="D771" s="91"/>
    </row>
    <row r="772" spans="4:4" ht="13">
      <c r="D772" s="91"/>
    </row>
    <row r="773" spans="4:4" ht="13">
      <c r="D773" s="91"/>
    </row>
    <row r="774" spans="4:4" ht="13">
      <c r="D774" s="91"/>
    </row>
    <row r="775" spans="4:4" ht="13">
      <c r="D775" s="91"/>
    </row>
    <row r="776" spans="4:4" ht="13">
      <c r="D776" s="91"/>
    </row>
    <row r="777" spans="4:4" ht="13">
      <c r="D777" s="91"/>
    </row>
    <row r="778" spans="4:4" ht="13">
      <c r="D778" s="91"/>
    </row>
    <row r="779" spans="4:4" ht="13">
      <c r="D779" s="91"/>
    </row>
    <row r="780" spans="4:4" ht="13">
      <c r="D780" s="91"/>
    </row>
    <row r="781" spans="4:4" ht="13">
      <c r="D781" s="91"/>
    </row>
    <row r="782" spans="4:4" ht="13">
      <c r="D782" s="91"/>
    </row>
    <row r="783" spans="4:4" ht="13">
      <c r="D783" s="91"/>
    </row>
    <row r="784" spans="4:4" ht="13">
      <c r="D784" s="91"/>
    </row>
    <row r="785" spans="4:4" ht="13">
      <c r="D785" s="91"/>
    </row>
    <row r="786" spans="4:4" ht="13">
      <c r="D786" s="91"/>
    </row>
    <row r="787" spans="4:4" ht="13">
      <c r="D787" s="91"/>
    </row>
    <row r="788" spans="4:4" ht="13">
      <c r="D788" s="91"/>
    </row>
    <row r="789" spans="4:4" ht="13">
      <c r="D789" s="91"/>
    </row>
    <row r="790" spans="4:4" ht="13">
      <c r="D790" s="91"/>
    </row>
    <row r="791" spans="4:4" ht="13">
      <c r="D791" s="91"/>
    </row>
    <row r="792" spans="4:4" ht="13">
      <c r="D792" s="91"/>
    </row>
    <row r="793" spans="4:4" ht="13">
      <c r="D793" s="91"/>
    </row>
    <row r="794" spans="4:4" ht="13">
      <c r="D794" s="91"/>
    </row>
    <row r="795" spans="4:4" ht="13">
      <c r="D795" s="91"/>
    </row>
    <row r="796" spans="4:4" ht="13">
      <c r="D796" s="91"/>
    </row>
    <row r="797" spans="4:4" ht="13">
      <c r="D797" s="91"/>
    </row>
    <row r="798" spans="4:4" ht="13">
      <c r="D798" s="91"/>
    </row>
    <row r="799" spans="4:4" ht="13">
      <c r="D799" s="91"/>
    </row>
    <row r="800" spans="4:4" ht="13">
      <c r="D800" s="91"/>
    </row>
    <row r="801" spans="4:4" ht="13">
      <c r="D801" s="91"/>
    </row>
    <row r="802" spans="4:4" ht="13">
      <c r="D802" s="91"/>
    </row>
    <row r="803" spans="4:4" ht="13">
      <c r="D803" s="91"/>
    </row>
    <row r="804" spans="4:4" ht="13">
      <c r="D804" s="91"/>
    </row>
    <row r="805" spans="4:4" ht="13">
      <c r="D805" s="91"/>
    </row>
    <row r="806" spans="4:4" ht="13">
      <c r="D806" s="91"/>
    </row>
    <row r="807" spans="4:4" ht="13">
      <c r="D807" s="91"/>
    </row>
    <row r="808" spans="4:4" ht="13">
      <c r="D808" s="91"/>
    </row>
    <row r="809" spans="4:4" ht="13">
      <c r="D809" s="91"/>
    </row>
    <row r="810" spans="4:4" ht="13">
      <c r="D810" s="91"/>
    </row>
    <row r="811" spans="4:4" ht="13">
      <c r="D811" s="91"/>
    </row>
    <row r="812" spans="4:4" ht="13">
      <c r="D812" s="91"/>
    </row>
    <row r="813" spans="4:4" ht="13">
      <c r="D813" s="91"/>
    </row>
    <row r="814" spans="4:4" ht="13">
      <c r="D814" s="91"/>
    </row>
    <row r="815" spans="4:4" ht="13">
      <c r="D815" s="91"/>
    </row>
    <row r="816" spans="4:4" ht="13">
      <c r="D816" s="91"/>
    </row>
    <row r="817" spans="4:4" ht="13">
      <c r="D817" s="91"/>
    </row>
    <row r="818" spans="4:4" ht="13">
      <c r="D818" s="91"/>
    </row>
    <row r="819" spans="4:4" ht="13">
      <c r="D819" s="91"/>
    </row>
    <row r="820" spans="4:4" ht="13">
      <c r="D820" s="91"/>
    </row>
    <row r="821" spans="4:4" ht="13">
      <c r="D821" s="91"/>
    </row>
    <row r="822" spans="4:4" ht="13">
      <c r="D822" s="91"/>
    </row>
    <row r="823" spans="4:4" ht="13">
      <c r="D823" s="91"/>
    </row>
    <row r="824" spans="4:4" ht="13">
      <c r="D824" s="91"/>
    </row>
    <row r="825" spans="4:4" ht="13">
      <c r="D825" s="91"/>
    </row>
    <row r="826" spans="4:4" ht="13">
      <c r="D826" s="91"/>
    </row>
    <row r="827" spans="4:4" ht="13">
      <c r="D827" s="91"/>
    </row>
    <row r="828" spans="4:4" ht="13">
      <c r="D828" s="91"/>
    </row>
    <row r="829" spans="4:4" ht="13">
      <c r="D829" s="91"/>
    </row>
    <row r="830" spans="4:4" ht="13">
      <c r="D830" s="91"/>
    </row>
    <row r="831" spans="4:4" ht="13">
      <c r="D831" s="91"/>
    </row>
    <row r="832" spans="4:4" ht="13">
      <c r="D832" s="91"/>
    </row>
    <row r="833" spans="4:4" ht="13">
      <c r="D833" s="91"/>
    </row>
    <row r="834" spans="4:4" ht="13">
      <c r="D834" s="91"/>
    </row>
    <row r="835" spans="4:4" ht="13">
      <c r="D835" s="91"/>
    </row>
    <row r="836" spans="4:4" ht="13">
      <c r="D836" s="91"/>
    </row>
    <row r="837" spans="4:4" ht="13">
      <c r="D837" s="91"/>
    </row>
    <row r="838" spans="4:4" ht="13">
      <c r="D838" s="91"/>
    </row>
    <row r="839" spans="4:4" ht="13">
      <c r="D839" s="91"/>
    </row>
    <row r="840" spans="4:4" ht="13">
      <c r="D840" s="91"/>
    </row>
    <row r="841" spans="4:4" ht="13">
      <c r="D841" s="91"/>
    </row>
    <row r="842" spans="4:4" ht="13">
      <c r="D842" s="91"/>
    </row>
    <row r="843" spans="4:4" ht="13">
      <c r="D843" s="91"/>
    </row>
    <row r="844" spans="4:4" ht="13">
      <c r="D844" s="91"/>
    </row>
    <row r="845" spans="4:4" ht="13">
      <c r="D845" s="91"/>
    </row>
    <row r="846" spans="4:4" ht="13">
      <c r="D846" s="91"/>
    </row>
    <row r="847" spans="4:4" ht="13">
      <c r="D847" s="91"/>
    </row>
    <row r="848" spans="4:4" ht="13">
      <c r="D848" s="91"/>
    </row>
    <row r="849" spans="4:4" ht="13">
      <c r="D849" s="91"/>
    </row>
    <row r="850" spans="4:4" ht="13">
      <c r="D850" s="91"/>
    </row>
    <row r="851" spans="4:4" ht="13">
      <c r="D851" s="91"/>
    </row>
    <row r="852" spans="4:4" ht="13">
      <c r="D852" s="91"/>
    </row>
    <row r="853" spans="4:4" ht="13">
      <c r="D853" s="91"/>
    </row>
    <row r="854" spans="4:4" ht="13">
      <c r="D854" s="91"/>
    </row>
    <row r="855" spans="4:4" ht="13">
      <c r="D855" s="91"/>
    </row>
    <row r="856" spans="4:4" ht="13">
      <c r="D856" s="91"/>
    </row>
    <row r="857" spans="4:4" ht="13">
      <c r="D857" s="91"/>
    </row>
    <row r="858" spans="4:4" ht="13">
      <c r="D858" s="91"/>
    </row>
    <row r="859" spans="4:4" ht="13">
      <c r="D859" s="91"/>
    </row>
    <row r="860" spans="4:4" ht="13">
      <c r="D860" s="91"/>
    </row>
    <row r="861" spans="4:4" ht="13">
      <c r="D861" s="91"/>
    </row>
    <row r="862" spans="4:4" ht="13">
      <c r="D862" s="91"/>
    </row>
    <row r="863" spans="4:4" ht="13">
      <c r="D863" s="91"/>
    </row>
    <row r="864" spans="4:4" ht="13">
      <c r="D864" s="91"/>
    </row>
    <row r="865" spans="4:4" ht="13">
      <c r="D865" s="91"/>
    </row>
    <row r="866" spans="4:4" ht="13">
      <c r="D866" s="91"/>
    </row>
    <row r="867" spans="4:4" ht="13">
      <c r="D867" s="91"/>
    </row>
    <row r="868" spans="4:4" ht="13">
      <c r="D868" s="91"/>
    </row>
    <row r="869" spans="4:4" ht="13">
      <c r="D869" s="91"/>
    </row>
    <row r="870" spans="4:4" ht="13">
      <c r="D870" s="91"/>
    </row>
    <row r="871" spans="4:4" ht="13">
      <c r="D871" s="91"/>
    </row>
    <row r="872" spans="4:4" ht="13">
      <c r="D872" s="91"/>
    </row>
    <row r="873" spans="4:4" ht="13">
      <c r="D873" s="91"/>
    </row>
    <row r="874" spans="4:4" ht="13">
      <c r="D874" s="91"/>
    </row>
    <row r="875" spans="4:4" ht="13">
      <c r="D875" s="91"/>
    </row>
    <row r="876" spans="4:4" ht="13">
      <c r="D876" s="91"/>
    </row>
    <row r="877" spans="4:4" ht="13">
      <c r="D877" s="91"/>
    </row>
    <row r="878" spans="4:4" ht="13">
      <c r="D878" s="91"/>
    </row>
    <row r="879" spans="4:4" ht="13">
      <c r="D879" s="91"/>
    </row>
    <row r="880" spans="4:4" ht="13">
      <c r="D880" s="91"/>
    </row>
    <row r="881" spans="4:4" ht="13">
      <c r="D881" s="91"/>
    </row>
    <row r="882" spans="4:4" ht="13">
      <c r="D882" s="91"/>
    </row>
    <row r="883" spans="4:4" ht="13">
      <c r="D883" s="91"/>
    </row>
    <row r="884" spans="4:4" ht="13">
      <c r="D884" s="91"/>
    </row>
    <row r="885" spans="4:4" ht="13">
      <c r="D885" s="91"/>
    </row>
    <row r="886" spans="4:4" ht="13">
      <c r="D886" s="91"/>
    </row>
    <row r="887" spans="4:4" ht="13">
      <c r="D887" s="91"/>
    </row>
    <row r="888" spans="4:4" ht="13">
      <c r="D888" s="91"/>
    </row>
    <row r="889" spans="4:4" ht="13">
      <c r="D889" s="91"/>
    </row>
    <row r="890" spans="4:4" ht="13">
      <c r="D890" s="91"/>
    </row>
    <row r="891" spans="4:4" ht="13">
      <c r="D891" s="91"/>
    </row>
    <row r="892" spans="4:4" ht="13">
      <c r="D892" s="91"/>
    </row>
    <row r="893" spans="4:4" ht="13">
      <c r="D893" s="91"/>
    </row>
    <row r="894" spans="4:4" ht="13">
      <c r="D894" s="91"/>
    </row>
    <row r="895" spans="4:4" ht="13">
      <c r="D895" s="91"/>
    </row>
    <row r="896" spans="4:4" ht="13">
      <c r="D896" s="91"/>
    </row>
    <row r="897" spans="4:4" ht="13">
      <c r="D897" s="91"/>
    </row>
    <row r="898" spans="4:4" ht="13">
      <c r="D898" s="91"/>
    </row>
    <row r="899" spans="4:4" ht="13">
      <c r="D899" s="91"/>
    </row>
    <row r="900" spans="4:4" ht="13">
      <c r="D900" s="91"/>
    </row>
    <row r="901" spans="4:4" ht="13">
      <c r="D901" s="91"/>
    </row>
    <row r="902" spans="4:4" ht="13">
      <c r="D902" s="91"/>
    </row>
    <row r="903" spans="4:4" ht="13">
      <c r="D903" s="91"/>
    </row>
    <row r="904" spans="4:4" ht="13">
      <c r="D904" s="91"/>
    </row>
    <row r="905" spans="4:4" ht="13">
      <c r="D905" s="91"/>
    </row>
    <row r="906" spans="4:4" ht="13">
      <c r="D906" s="91"/>
    </row>
    <row r="907" spans="4:4" ht="13">
      <c r="D907" s="91"/>
    </row>
    <row r="908" spans="4:4" ht="13">
      <c r="D908" s="91"/>
    </row>
    <row r="909" spans="4:4" ht="13">
      <c r="D909" s="91"/>
    </row>
    <row r="910" spans="4:4" ht="13">
      <c r="D910" s="91"/>
    </row>
    <row r="911" spans="4:4" ht="13">
      <c r="D911" s="91"/>
    </row>
    <row r="912" spans="4:4" ht="13">
      <c r="D912" s="91"/>
    </row>
    <row r="913" spans="4:4" ht="13">
      <c r="D913" s="91"/>
    </row>
    <row r="914" spans="4:4" ht="13">
      <c r="D914" s="91"/>
    </row>
    <row r="915" spans="4:4" ht="13">
      <c r="D915" s="91"/>
    </row>
    <row r="916" spans="4:4" ht="13">
      <c r="D916" s="91"/>
    </row>
    <row r="917" spans="4:4" ht="13">
      <c r="D917" s="91"/>
    </row>
    <row r="918" spans="4:4" ht="13">
      <c r="D918" s="91"/>
    </row>
    <row r="919" spans="4:4" ht="13">
      <c r="D919" s="91"/>
    </row>
    <row r="920" spans="4:4" ht="13">
      <c r="D920" s="91"/>
    </row>
    <row r="921" spans="4:4" ht="13">
      <c r="D921" s="91"/>
    </row>
    <row r="922" spans="4:4" ht="13">
      <c r="D922" s="91"/>
    </row>
    <row r="923" spans="4:4" ht="13">
      <c r="D923" s="91"/>
    </row>
    <row r="924" spans="4:4" ht="13">
      <c r="D924" s="91"/>
    </row>
    <row r="925" spans="4:4" ht="13">
      <c r="D925" s="91"/>
    </row>
    <row r="926" spans="4:4" ht="13">
      <c r="D926" s="91"/>
    </row>
    <row r="927" spans="4:4" ht="13">
      <c r="D927" s="91"/>
    </row>
    <row r="928" spans="4:4" ht="13">
      <c r="D928" s="91"/>
    </row>
    <row r="929" spans="4:4" ht="13">
      <c r="D929" s="91"/>
    </row>
    <row r="930" spans="4:4" ht="13">
      <c r="D930" s="91"/>
    </row>
    <row r="931" spans="4:4" ht="13">
      <c r="D931" s="91"/>
    </row>
    <row r="932" spans="4:4" ht="13">
      <c r="D932" s="91"/>
    </row>
    <row r="933" spans="4:4" ht="13">
      <c r="D933" s="91"/>
    </row>
    <row r="934" spans="4:4" ht="13">
      <c r="D934" s="91"/>
    </row>
    <row r="935" spans="4:4" ht="13">
      <c r="D935" s="91"/>
    </row>
    <row r="936" spans="4:4" ht="13">
      <c r="D936" s="91"/>
    </row>
    <row r="937" spans="4:4" ht="13">
      <c r="D937" s="91"/>
    </row>
    <row r="938" spans="4:4" ht="13">
      <c r="D938" s="91"/>
    </row>
    <row r="939" spans="4:4" ht="13">
      <c r="D939" s="91"/>
    </row>
    <row r="940" spans="4:4" ht="13">
      <c r="D940" s="91"/>
    </row>
    <row r="941" spans="4:4" ht="13">
      <c r="D941" s="91"/>
    </row>
    <row r="942" spans="4:4" ht="13">
      <c r="D942" s="91"/>
    </row>
    <row r="943" spans="4:4" ht="13">
      <c r="D943" s="91"/>
    </row>
    <row r="944" spans="4:4" ht="13">
      <c r="D944" s="91"/>
    </row>
    <row r="945" spans="4:4" ht="13">
      <c r="D945" s="91"/>
    </row>
    <row r="946" spans="4:4" ht="13">
      <c r="D946" s="91"/>
    </row>
    <row r="947" spans="4:4" ht="13">
      <c r="D947" s="91"/>
    </row>
    <row r="948" spans="4:4" ht="13">
      <c r="D948" s="91"/>
    </row>
    <row r="949" spans="4:4" ht="13">
      <c r="D949" s="91"/>
    </row>
    <row r="950" spans="4:4" ht="13">
      <c r="D950" s="91"/>
    </row>
    <row r="951" spans="4:4" ht="13">
      <c r="D951" s="91"/>
    </row>
    <row r="952" spans="4:4" ht="13">
      <c r="D952" s="91"/>
    </row>
    <row r="953" spans="4:4" ht="13">
      <c r="D953" s="91"/>
    </row>
    <row r="954" spans="4:4" ht="13">
      <c r="D954" s="91"/>
    </row>
    <row r="955" spans="4:4" ht="13">
      <c r="D955" s="91"/>
    </row>
    <row r="956" spans="4:4" ht="13">
      <c r="D956" s="91"/>
    </row>
    <row r="957" spans="4:4" ht="13">
      <c r="D957" s="91"/>
    </row>
    <row r="958" spans="4:4" ht="13">
      <c r="D958" s="91"/>
    </row>
    <row r="959" spans="4:4" ht="13">
      <c r="D959" s="91"/>
    </row>
    <row r="960" spans="4:4" ht="13">
      <c r="D960" s="91"/>
    </row>
    <row r="961" spans="4:4" ht="13">
      <c r="D961" s="91"/>
    </row>
    <row r="962" spans="4:4" ht="13">
      <c r="D962" s="91"/>
    </row>
    <row r="963" spans="4:4" ht="13">
      <c r="D963" s="91"/>
    </row>
    <row r="964" spans="4:4" ht="13">
      <c r="D964" s="91"/>
    </row>
    <row r="965" spans="4:4" ht="13">
      <c r="D965" s="91"/>
    </row>
    <row r="966" spans="4:4" ht="13">
      <c r="D966" s="91"/>
    </row>
    <row r="967" spans="4:4" ht="13">
      <c r="D967" s="91"/>
    </row>
    <row r="968" spans="4:4" ht="13">
      <c r="D968" s="91"/>
    </row>
    <row r="969" spans="4:4" ht="13">
      <c r="D969" s="91"/>
    </row>
    <row r="970" spans="4:4" ht="13">
      <c r="D970" s="91"/>
    </row>
    <row r="971" spans="4:4" ht="13">
      <c r="D971" s="91"/>
    </row>
    <row r="972" spans="4:4" ht="13">
      <c r="D972" s="91"/>
    </row>
    <row r="973" spans="4:4" ht="13">
      <c r="D973" s="91"/>
    </row>
    <row r="974" spans="4:4" ht="13">
      <c r="D974" s="91"/>
    </row>
    <row r="975" spans="4:4" ht="13">
      <c r="D975" s="91"/>
    </row>
    <row r="976" spans="4:4" ht="13">
      <c r="D976" s="91"/>
    </row>
    <row r="977" spans="4:4" ht="13">
      <c r="D977" s="91"/>
    </row>
    <row r="978" spans="4:4" ht="13">
      <c r="D978" s="91"/>
    </row>
    <row r="979" spans="4:4" ht="13">
      <c r="D979" s="91"/>
    </row>
    <row r="980" spans="4:4" ht="13">
      <c r="D980" s="91"/>
    </row>
    <row r="981" spans="4:4" ht="13">
      <c r="D981" s="91"/>
    </row>
    <row r="982" spans="4:4" ht="13">
      <c r="D982" s="91"/>
    </row>
    <row r="983" spans="4:4" ht="13">
      <c r="D983" s="91"/>
    </row>
    <row r="984" spans="4:4" ht="13">
      <c r="D984" s="91"/>
    </row>
  </sheetData>
  <hyperlinks>
    <hyperlink ref="B17" r:id="rId1" xr:uid="{00000000-0004-0000-0B00-000000000000}"/>
    <hyperlink ref="B23" r:id="rId2" xr:uid="{00000000-0004-0000-0B00-000001000000}"/>
  </hyperlinks>
  <pageMargins left="0.7" right="0.7" top="0.75" bottom="0.75" header="0.3" footer="0.3"/>
  <tableParts count="3"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973"/>
  <sheetViews>
    <sheetView tabSelected="1" workbookViewId="0">
      <selection activeCell="E5" sqref="E5"/>
    </sheetView>
  </sheetViews>
  <sheetFormatPr baseColWidth="10" defaultColWidth="12.6640625" defaultRowHeight="15.75" customHeight="1"/>
  <cols>
    <col min="1" max="1" width="16.1640625" customWidth="1"/>
    <col min="2" max="2" width="24.83203125" customWidth="1"/>
    <col min="3" max="3" width="12.6640625" style="110"/>
  </cols>
  <sheetData>
    <row r="1" spans="1:24" ht="15.75" customHeight="1">
      <c r="A1" s="96" t="s">
        <v>212</v>
      </c>
      <c r="B1" s="75" t="s">
        <v>230</v>
      </c>
      <c r="C1" s="75" t="s">
        <v>215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4" ht="15.75" customHeight="1">
      <c r="A2" s="98" t="s">
        <v>12</v>
      </c>
      <c r="B2" s="35" t="s">
        <v>232</v>
      </c>
      <c r="C2" s="110">
        <v>5330.7518554372382</v>
      </c>
    </row>
    <row r="3" spans="1:24" ht="15.75" customHeight="1">
      <c r="A3" s="98" t="s">
        <v>12</v>
      </c>
      <c r="B3" s="35" t="s">
        <v>233</v>
      </c>
      <c r="C3" s="110">
        <v>2299.5374852102827</v>
      </c>
    </row>
    <row r="4" spans="1:24" ht="15.75" customHeight="1">
      <c r="A4" s="98" t="s">
        <v>12</v>
      </c>
      <c r="B4" s="35" t="s">
        <v>234</v>
      </c>
      <c r="C4" s="110">
        <v>1649.9946219210499</v>
      </c>
    </row>
    <row r="5" spans="1:24" ht="15.75" customHeight="1">
      <c r="A5" s="98" t="s">
        <v>12</v>
      </c>
      <c r="B5" s="35" t="s">
        <v>235</v>
      </c>
      <c r="C5" s="110">
        <v>806.71184252984835</v>
      </c>
    </row>
    <row r="6" spans="1:24" ht="15.75" customHeight="1">
      <c r="A6" s="98" t="s">
        <v>12</v>
      </c>
      <c r="B6" s="35" t="s">
        <v>236</v>
      </c>
      <c r="C6" s="110">
        <v>537.80789501989887</v>
      </c>
    </row>
    <row r="7" spans="1:24" ht="15.75" customHeight="1">
      <c r="A7" s="98" t="s">
        <v>12</v>
      </c>
      <c r="B7" s="35" t="s">
        <v>237</v>
      </c>
      <c r="C7" s="110">
        <v>1645.9072819188987</v>
      </c>
    </row>
    <row r="8" spans="1:24" ht="15.75" customHeight="1">
      <c r="A8" s="98" t="s">
        <v>11</v>
      </c>
      <c r="B8" s="35" t="s">
        <v>238</v>
      </c>
      <c r="C8" s="110">
        <v>1115.9513821662902</v>
      </c>
    </row>
    <row r="9" spans="1:24" ht="15.75" customHeight="1">
      <c r="A9" s="98" t="s">
        <v>11</v>
      </c>
      <c r="B9" s="35" t="s">
        <v>239</v>
      </c>
      <c r="C9" s="110">
        <v>666.08583414004522</v>
      </c>
    </row>
    <row r="10" spans="1:24" ht="15.75" customHeight="1">
      <c r="A10" s="98" t="s">
        <v>11</v>
      </c>
      <c r="B10" s="35" t="s">
        <v>288</v>
      </c>
      <c r="C10" s="110">
        <v>644.35839518124124</v>
      </c>
    </row>
    <row r="11" spans="1:24" ht="15.75" customHeight="1">
      <c r="A11" s="98" t="s">
        <v>11</v>
      </c>
      <c r="B11" s="35" t="s">
        <v>240</v>
      </c>
      <c r="C11" s="110">
        <v>16.134236850596967</v>
      </c>
    </row>
    <row r="12" spans="1:24" ht="15.75" customHeight="1">
      <c r="A12" s="98" t="s">
        <v>241</v>
      </c>
      <c r="B12" s="35" t="s">
        <v>242</v>
      </c>
      <c r="C12" s="110">
        <v>107.56157900397977</v>
      </c>
    </row>
    <row r="13" spans="1:24" ht="15.75" customHeight="1">
      <c r="A13" s="98" t="s">
        <v>241</v>
      </c>
      <c r="B13" s="35" t="s">
        <v>243</v>
      </c>
      <c r="C13" s="110">
        <v>1994.2777239969882</v>
      </c>
    </row>
    <row r="14" spans="1:24" ht="15.75" customHeight="1">
      <c r="A14" s="98" t="s">
        <v>241</v>
      </c>
      <c r="B14" s="35" t="s">
        <v>244</v>
      </c>
      <c r="C14" s="110">
        <v>42.110358180058086</v>
      </c>
    </row>
    <row r="15" spans="1:24" ht="15.75" customHeight="1">
      <c r="A15" s="98" t="s">
        <v>241</v>
      </c>
      <c r="B15" s="35" t="s">
        <v>245</v>
      </c>
      <c r="C15" s="110">
        <v>6.9915026352586853</v>
      </c>
    </row>
    <row r="16" spans="1:24" ht="15.75" customHeight="1">
      <c r="A16" s="98" t="s">
        <v>241</v>
      </c>
      <c r="B16" s="35" t="s">
        <v>246</v>
      </c>
      <c r="C16" s="110">
        <v>26.492416908680219</v>
      </c>
    </row>
    <row r="17" spans="1:3" ht="15.75" customHeight="1">
      <c r="A17" s="98" t="s">
        <v>241</v>
      </c>
      <c r="B17" s="97" t="s">
        <v>247</v>
      </c>
      <c r="C17" s="110">
        <v>159.98709261051951</v>
      </c>
    </row>
    <row r="18" spans="1:3" ht="15.75" customHeight="1">
      <c r="A18" s="98" t="s">
        <v>241</v>
      </c>
      <c r="B18" s="97" t="s">
        <v>289</v>
      </c>
      <c r="C18" s="110">
        <v>250.0053780789502</v>
      </c>
    </row>
    <row r="19" spans="1:3" ht="15.75" customHeight="1">
      <c r="A19" s="98" t="s">
        <v>241</v>
      </c>
      <c r="B19" s="35" t="s">
        <v>248</v>
      </c>
      <c r="C19" s="110">
        <v>6.9915026352586853</v>
      </c>
    </row>
    <row r="20" spans="1:3" ht="15.75" customHeight="1">
      <c r="A20" s="98" t="s">
        <v>241</v>
      </c>
      <c r="B20" s="35" t="s">
        <v>249</v>
      </c>
      <c r="C20" s="110">
        <v>86.350435624394962</v>
      </c>
    </row>
    <row r="21" spans="1:3" ht="15.75" customHeight="1">
      <c r="A21" s="98" t="s">
        <v>241</v>
      </c>
      <c r="B21" s="35" t="s">
        <v>250</v>
      </c>
      <c r="C21" s="110">
        <v>25.008067118425299</v>
      </c>
    </row>
    <row r="22" spans="1:3" ht="15.75" customHeight="1">
      <c r="A22" s="98" t="s">
        <v>241</v>
      </c>
      <c r="B22" s="35" t="s">
        <v>251</v>
      </c>
      <c r="C22" s="110">
        <v>96.084758524255136</v>
      </c>
    </row>
    <row r="23" spans="1:3" ht="15.75" customHeight="1">
      <c r="A23" s="98" t="s">
        <v>241</v>
      </c>
      <c r="B23" s="35" t="s">
        <v>252</v>
      </c>
      <c r="C23" s="110">
        <v>329.80531354200281</v>
      </c>
    </row>
    <row r="24" spans="1:3" ht="15.75" customHeight="1">
      <c r="A24" s="98" t="s">
        <v>241</v>
      </c>
      <c r="B24" s="35" t="s">
        <v>253</v>
      </c>
      <c r="C24" s="110">
        <v>70.797031300419491</v>
      </c>
    </row>
    <row r="25" spans="1:3" ht="15.75" customHeight="1">
      <c r="A25" s="98" t="s">
        <v>241</v>
      </c>
      <c r="B25" s="35" t="s">
        <v>254</v>
      </c>
      <c r="C25" s="110">
        <v>775.42217919759059</v>
      </c>
    </row>
    <row r="26" spans="1:3" ht="15.75" customHeight="1">
      <c r="A26" s="98" t="s">
        <v>241</v>
      </c>
      <c r="B26" s="35" t="s">
        <v>290</v>
      </c>
      <c r="C26" s="110">
        <v>241.24986554802624</v>
      </c>
    </row>
    <row r="27" spans="1:3" ht="15.75" customHeight="1">
      <c r="A27" s="98" t="s">
        <v>241</v>
      </c>
      <c r="B27" s="35" t="s">
        <v>256</v>
      </c>
      <c r="C27" s="110">
        <v>36.775303861460685</v>
      </c>
    </row>
    <row r="28" spans="1:3" ht="15.75" customHeight="1">
      <c r="A28" s="98" t="s">
        <v>15</v>
      </c>
      <c r="B28" s="35" t="s">
        <v>257</v>
      </c>
      <c r="C28" s="110">
        <v>583.84425083360225</v>
      </c>
    </row>
    <row r="29" spans="1:3" ht="15.75" customHeight="1">
      <c r="A29" s="98" t="s">
        <v>15</v>
      </c>
      <c r="B29" s="35" t="s">
        <v>258</v>
      </c>
      <c r="C29" s="110">
        <v>109.37936968914704</v>
      </c>
    </row>
    <row r="30" spans="1:3" ht="15.75" customHeight="1">
      <c r="A30" s="99" t="s">
        <v>260</v>
      </c>
      <c r="B30" s="35" t="s">
        <v>115</v>
      </c>
      <c r="C30" s="110">
        <v>2750</v>
      </c>
    </row>
    <row r="31" spans="1:3" ht="15.75" customHeight="1">
      <c r="A31" s="99" t="s">
        <v>260</v>
      </c>
      <c r="B31" s="35" t="s">
        <v>284</v>
      </c>
      <c r="C31" s="110">
        <v>8446.7892868667313</v>
      </c>
    </row>
    <row r="32" spans="1:3" ht="15.75" customHeight="1">
      <c r="A32" s="99" t="s">
        <v>260</v>
      </c>
      <c r="B32" s="35" t="s">
        <v>119</v>
      </c>
      <c r="C32" s="110">
        <v>6177.0033344089488</v>
      </c>
    </row>
    <row r="33" spans="1:3" ht="15.75" customHeight="1">
      <c r="A33" s="99" t="s">
        <v>260</v>
      </c>
      <c r="B33" s="35" t="s">
        <v>117</v>
      </c>
      <c r="C33" s="110">
        <v>1958.9975260836829</v>
      </c>
    </row>
    <row r="34" spans="1:3" ht="15.75" customHeight="1">
      <c r="A34" s="98" t="s">
        <v>13</v>
      </c>
      <c r="B34" s="35" t="s">
        <v>261</v>
      </c>
      <c r="C34" s="110">
        <v>319.19974185221042</v>
      </c>
    </row>
    <row r="35" spans="1:3" ht="15.75" customHeight="1">
      <c r="A35" s="98" t="s">
        <v>13</v>
      </c>
      <c r="B35" s="35" t="s">
        <v>262</v>
      </c>
      <c r="C35" s="110">
        <v>395.2888028396257</v>
      </c>
    </row>
    <row r="36" spans="1:3" ht="15.75" customHeight="1">
      <c r="A36" s="98" t="s">
        <v>13</v>
      </c>
      <c r="B36" s="35" t="s">
        <v>263</v>
      </c>
      <c r="C36" s="110">
        <v>2590.6421426266538</v>
      </c>
    </row>
    <row r="37" spans="1:3" ht="15.75" customHeight="1">
      <c r="A37" s="98" t="s">
        <v>13</v>
      </c>
      <c r="B37" s="35" t="s">
        <v>264</v>
      </c>
      <c r="C37" s="110">
        <v>719.54393890502308</v>
      </c>
    </row>
    <row r="38" spans="1:3" ht="15.75" customHeight="1">
      <c r="A38" s="98" t="s">
        <v>14</v>
      </c>
      <c r="B38" s="35" t="s">
        <v>265</v>
      </c>
      <c r="C38" s="110">
        <v>311.83177369043779</v>
      </c>
    </row>
    <row r="39" spans="1:3" ht="15.75" customHeight="1">
      <c r="A39" s="98" t="s">
        <v>14</v>
      </c>
      <c r="B39" s="35" t="s">
        <v>266</v>
      </c>
      <c r="C39" s="110">
        <v>138.10906744111003</v>
      </c>
    </row>
    <row r="40" spans="1:3" ht="15.75" customHeight="1">
      <c r="A40" s="98" t="s">
        <v>14</v>
      </c>
      <c r="B40" s="35" t="s">
        <v>267</v>
      </c>
      <c r="C40" s="110">
        <v>23.663547380875553</v>
      </c>
    </row>
    <row r="41" spans="1:3" ht="15.75" customHeight="1">
      <c r="A41" s="98" t="s">
        <v>14</v>
      </c>
      <c r="B41" s="35" t="s">
        <v>268</v>
      </c>
      <c r="C41" s="110">
        <v>161.34236850596966</v>
      </c>
    </row>
    <row r="42" spans="1:3" ht="15.75" customHeight="1">
      <c r="A42" s="98" t="s">
        <v>14</v>
      </c>
      <c r="B42" s="35" t="s">
        <v>269</v>
      </c>
      <c r="C42" s="110">
        <v>125.20167796063247</v>
      </c>
    </row>
    <row r="43" spans="1:3" ht="15.75" customHeight="1">
      <c r="A43" s="98" t="s">
        <v>14</v>
      </c>
      <c r="B43" s="35" t="s">
        <v>263</v>
      </c>
      <c r="C43" s="110">
        <v>1545.0575454447671</v>
      </c>
    </row>
    <row r="44" spans="1:3" ht="15.75" customHeight="1">
      <c r="A44" s="98" t="s">
        <v>14</v>
      </c>
      <c r="B44" s="35" t="s">
        <v>270</v>
      </c>
      <c r="C44" s="110">
        <v>151.30687318489836</v>
      </c>
    </row>
    <row r="45" spans="1:3" ht="15.75" customHeight="1">
      <c r="A45" s="100" t="s">
        <v>271</v>
      </c>
      <c r="B45" s="35" t="s">
        <v>272</v>
      </c>
      <c r="C45" s="110">
        <v>9008.4758524255139</v>
      </c>
    </row>
    <row r="46" spans="1:3" ht="15.75" customHeight="1">
      <c r="A46" s="100" t="s">
        <v>273</v>
      </c>
      <c r="B46" s="35" t="s">
        <v>275</v>
      </c>
      <c r="C46" s="110">
        <v>21.512315800795957</v>
      </c>
    </row>
    <row r="47" spans="1:3" ht="15.75" customHeight="1">
      <c r="A47" s="100" t="s">
        <v>273</v>
      </c>
      <c r="B47" s="35" t="s">
        <v>291</v>
      </c>
      <c r="C47" s="110">
        <v>459.57835861030441</v>
      </c>
    </row>
    <row r="48" spans="1:3" ht="15.75" customHeight="1">
      <c r="A48" s="100" t="s">
        <v>273</v>
      </c>
      <c r="B48" s="35" t="s">
        <v>276</v>
      </c>
      <c r="C48" s="110">
        <v>31.192857911154135</v>
      </c>
    </row>
    <row r="49" spans="1:3" ht="15.75" customHeight="1">
      <c r="A49" s="100" t="s">
        <v>273</v>
      </c>
      <c r="B49" s="35" t="s">
        <v>280</v>
      </c>
      <c r="C49" s="110">
        <v>36.872109282564267</v>
      </c>
    </row>
    <row r="50" spans="1:3" ht="15">
      <c r="A50" s="100" t="s">
        <v>273</v>
      </c>
      <c r="B50" s="35" t="s">
        <v>292</v>
      </c>
      <c r="C50" s="110">
        <v>2.968699580509842</v>
      </c>
    </row>
    <row r="51" spans="1:3" ht="15">
      <c r="A51" s="100" t="s">
        <v>16</v>
      </c>
      <c r="B51" s="35" t="s">
        <v>277</v>
      </c>
      <c r="C51" s="110">
        <v>81.295041411207919</v>
      </c>
    </row>
    <row r="52" spans="1:3" ht="15">
      <c r="A52" s="100" t="s">
        <v>16</v>
      </c>
      <c r="B52" s="35" t="s">
        <v>293</v>
      </c>
      <c r="C52" s="110">
        <v>844.76712918145643</v>
      </c>
    </row>
    <row r="53" spans="1:3" ht="13"/>
    <row r="54" spans="1:3" ht="13"/>
    <row r="55" spans="1:3" ht="13"/>
    <row r="56" spans="1:3" ht="13"/>
    <row r="57" spans="1:3" ht="13"/>
    <row r="58" spans="1:3" ht="13"/>
    <row r="59" spans="1:3" ht="13"/>
    <row r="60" spans="1:3" ht="13"/>
    <row r="61" spans="1:3" ht="13"/>
    <row r="62" spans="1:3" ht="13"/>
    <row r="63" spans="1:3" ht="13"/>
    <row r="64" spans="1:3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  <row r="147" ht="13"/>
    <row r="148" ht="13"/>
    <row r="149" ht="13"/>
    <row r="150" ht="13"/>
    <row r="151" ht="13"/>
    <row r="152" ht="13"/>
    <row r="153" ht="13"/>
    <row r="154" ht="13"/>
    <row r="155" ht="13"/>
    <row r="156" ht="13"/>
    <row r="157" ht="13"/>
    <row r="158" ht="13"/>
    <row r="159" ht="13"/>
    <row r="160" ht="13"/>
    <row r="161" ht="13"/>
    <row r="162" ht="13"/>
    <row r="163" ht="13"/>
    <row r="164" ht="13"/>
    <row r="165" ht="13"/>
    <row r="166" ht="13"/>
    <row r="167" ht="13"/>
    <row r="168" ht="13"/>
    <row r="169" ht="13"/>
    <row r="170" ht="13"/>
    <row r="171" ht="13"/>
    <row r="172" ht="13"/>
    <row r="173" ht="13"/>
    <row r="174" ht="13"/>
    <row r="175" ht="13"/>
    <row r="176" ht="13"/>
    <row r="177" ht="13"/>
    <row r="178" ht="13"/>
    <row r="179" ht="13"/>
    <row r="180" ht="13"/>
    <row r="181" ht="13"/>
    <row r="182" ht="13"/>
    <row r="183" ht="13"/>
    <row r="184" ht="13"/>
    <row r="185" ht="13"/>
    <row r="186" ht="13"/>
    <row r="187" ht="13"/>
    <row r="188" ht="13"/>
    <row r="189" ht="13"/>
    <row r="190" ht="13"/>
    <row r="191" ht="13"/>
    <row r="192" ht="13"/>
    <row r="193" ht="13"/>
    <row r="194" ht="13"/>
    <row r="195" ht="13"/>
    <row r="196" ht="13"/>
    <row r="197" ht="13"/>
    <row r="198" ht="13"/>
    <row r="199" ht="13"/>
    <row r="200" ht="13"/>
    <row r="201" ht="13"/>
    <row r="202" ht="13"/>
    <row r="203" ht="13"/>
    <row r="204" ht="13"/>
    <row r="205" ht="13"/>
    <row r="206" ht="13"/>
    <row r="207" ht="13"/>
    <row r="208" ht="13"/>
    <row r="209" ht="13"/>
    <row r="210" ht="13"/>
    <row r="211" ht="13"/>
    <row r="212" ht="13"/>
    <row r="213" ht="13"/>
    <row r="214" ht="13"/>
    <row r="215" ht="13"/>
    <row r="216" ht="13"/>
    <row r="217" ht="13"/>
    <row r="218" ht="13"/>
    <row r="219" ht="13"/>
    <row r="220" ht="13"/>
    <row r="221" ht="13"/>
    <row r="222" ht="13"/>
    <row r="223" ht="13"/>
    <row r="224" ht="13"/>
    <row r="225" ht="13"/>
    <row r="226" ht="13"/>
    <row r="227" ht="13"/>
    <row r="228" ht="13"/>
    <row r="229" ht="13"/>
    <row r="230" ht="13"/>
    <row r="231" ht="13"/>
    <row r="232" ht="13"/>
    <row r="233" ht="13"/>
    <row r="234" ht="13"/>
    <row r="235" ht="13"/>
    <row r="236" ht="13"/>
    <row r="237" ht="13"/>
    <row r="238" ht="13"/>
    <row r="239" ht="13"/>
    <row r="240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</sheetData>
  <hyperlinks>
    <hyperlink ref="B17" r:id="rId1" xr:uid="{00000000-0004-0000-0C00-000000000000}"/>
    <hyperlink ref="B18" r:id="rId2" xr:uid="{00000000-0004-0000-0C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2:C57"/>
  <sheetViews>
    <sheetView workbookViewId="0"/>
  </sheetViews>
  <sheetFormatPr baseColWidth="10" defaultColWidth="12.6640625" defaultRowHeight="15.75" customHeight="1"/>
  <cols>
    <col min="2" max="2" width="15.6640625" customWidth="1"/>
    <col min="3" max="3" width="18.5" customWidth="1"/>
  </cols>
  <sheetData>
    <row r="2" spans="1:3" ht="15.75" customHeight="1">
      <c r="A2" s="101" t="s">
        <v>42</v>
      </c>
    </row>
    <row r="3" spans="1:3" ht="15.75" customHeight="1">
      <c r="A3" s="102" t="s">
        <v>294</v>
      </c>
      <c r="B3" s="103">
        <v>60600</v>
      </c>
      <c r="C3" s="104" t="s">
        <v>6</v>
      </c>
    </row>
    <row r="4" spans="1:3" ht="15.75" customHeight="1">
      <c r="A4" s="102" t="s">
        <v>86</v>
      </c>
      <c r="B4" s="103">
        <v>31972</v>
      </c>
      <c r="C4" s="104" t="s">
        <v>6</v>
      </c>
    </row>
    <row r="5" spans="1:3" ht="15.75" customHeight="1">
      <c r="A5" s="20" t="s">
        <v>49</v>
      </c>
      <c r="B5" s="23">
        <v>46304</v>
      </c>
      <c r="C5" s="9" t="s">
        <v>6</v>
      </c>
    </row>
    <row r="6" spans="1:3" ht="15.75" customHeight="1">
      <c r="A6" s="20" t="s">
        <v>75</v>
      </c>
      <c r="B6" s="23">
        <v>76247</v>
      </c>
      <c r="C6" s="9" t="s">
        <v>6</v>
      </c>
    </row>
    <row r="7" spans="1:3" ht="15.75" customHeight="1">
      <c r="A7" s="20" t="s">
        <v>91</v>
      </c>
      <c r="B7" s="23">
        <v>46714</v>
      </c>
      <c r="C7" s="9" t="s">
        <v>6</v>
      </c>
    </row>
    <row r="8" spans="1:3" ht="15.75" customHeight="1">
      <c r="A8" s="20" t="s">
        <v>226</v>
      </c>
      <c r="B8" s="23"/>
      <c r="C8" s="9" t="s">
        <v>295</v>
      </c>
    </row>
    <row r="9" spans="1:3" ht="15.75" customHeight="1">
      <c r="A9" s="20" t="s">
        <v>227</v>
      </c>
      <c r="B9" s="23"/>
      <c r="C9" s="9"/>
    </row>
    <row r="10" spans="1:3" ht="15.75" customHeight="1">
      <c r="A10" s="20" t="s">
        <v>228</v>
      </c>
      <c r="B10" s="23"/>
      <c r="C10" s="9"/>
    </row>
    <row r="11" spans="1:3" ht="15.75" customHeight="1">
      <c r="A11" s="20" t="s">
        <v>210</v>
      </c>
      <c r="B11" s="23"/>
      <c r="C11" s="9"/>
    </row>
    <row r="12" spans="1:3" ht="15.75" customHeight="1">
      <c r="A12" s="20" t="s">
        <v>229</v>
      </c>
      <c r="B12" s="23"/>
      <c r="C12" s="9"/>
    </row>
    <row r="13" spans="1:3" ht="15.75" customHeight="1">
      <c r="A13" s="20"/>
      <c r="B13" s="23"/>
      <c r="C13" s="9"/>
    </row>
    <row r="14" spans="1:3" ht="15.75" customHeight="1">
      <c r="A14" s="20" t="s">
        <v>172</v>
      </c>
      <c r="B14" s="23">
        <v>70000</v>
      </c>
      <c r="C14" s="9" t="s">
        <v>6</v>
      </c>
    </row>
    <row r="15" spans="1:3" ht="15.75" customHeight="1">
      <c r="A15" s="20" t="s">
        <v>65</v>
      </c>
      <c r="B15" s="23">
        <v>62600</v>
      </c>
      <c r="C15" s="9" t="s">
        <v>6</v>
      </c>
    </row>
    <row r="17" spans="1:3" ht="15.75" customHeight="1">
      <c r="A17" s="105" t="s">
        <v>123</v>
      </c>
      <c r="B17" s="105">
        <v>460900</v>
      </c>
      <c r="C17" s="9" t="s">
        <v>8</v>
      </c>
    </row>
    <row r="18" spans="1:3" ht="15.75" customHeight="1">
      <c r="A18" s="105" t="s">
        <v>221</v>
      </c>
      <c r="B18" s="105">
        <v>307267</v>
      </c>
      <c r="C18" s="9" t="s">
        <v>8</v>
      </c>
    </row>
    <row r="19" spans="1:3" ht="15.75" customHeight="1">
      <c r="A19" s="105" t="s">
        <v>107</v>
      </c>
      <c r="B19" s="105">
        <v>1101933</v>
      </c>
      <c r="C19" s="9" t="s">
        <v>8</v>
      </c>
    </row>
    <row r="20" spans="1:3" ht="15.75" customHeight="1">
      <c r="A20" s="20" t="s">
        <v>191</v>
      </c>
      <c r="B20" s="23">
        <v>87539</v>
      </c>
      <c r="C20" s="9" t="s">
        <v>8</v>
      </c>
    </row>
    <row r="21" spans="1:3" ht="15.75" customHeight="1">
      <c r="A21" s="20" t="s">
        <v>105</v>
      </c>
      <c r="B21" s="23">
        <v>110000</v>
      </c>
      <c r="C21" s="9" t="s">
        <v>8</v>
      </c>
    </row>
    <row r="22" spans="1:3" ht="15.75" customHeight="1">
      <c r="A22" s="20" t="s">
        <v>106</v>
      </c>
      <c r="B22" s="23">
        <v>62796</v>
      </c>
      <c r="C22" s="9" t="s">
        <v>8</v>
      </c>
    </row>
    <row r="23" spans="1:3" ht="15.75" customHeight="1">
      <c r="A23" s="20" t="s">
        <v>104</v>
      </c>
      <c r="B23" s="23">
        <v>147000</v>
      </c>
      <c r="C23" s="9" t="s">
        <v>8</v>
      </c>
    </row>
    <row r="24" spans="1:3" ht="15.75" customHeight="1">
      <c r="A24" s="20" t="s">
        <v>102</v>
      </c>
      <c r="B24" s="23">
        <v>67927</v>
      </c>
      <c r="C24" s="9" t="s">
        <v>8</v>
      </c>
    </row>
    <row r="25" spans="1:3" ht="15.75" customHeight="1">
      <c r="A25" s="20" t="s">
        <v>103</v>
      </c>
      <c r="B25" s="23">
        <v>91242</v>
      </c>
      <c r="C25" s="9" t="s">
        <v>8</v>
      </c>
    </row>
    <row r="26" spans="1:3" ht="15.75" customHeight="1">
      <c r="A26" s="20" t="s">
        <v>99</v>
      </c>
      <c r="B26" s="23">
        <v>40900</v>
      </c>
      <c r="C26" s="9" t="s">
        <v>8</v>
      </c>
    </row>
    <row r="27" spans="1:3" ht="15.75" customHeight="1">
      <c r="A27" s="20" t="s">
        <v>101</v>
      </c>
      <c r="B27" s="23">
        <v>58000</v>
      </c>
      <c r="C27" s="9" t="s">
        <v>8</v>
      </c>
    </row>
    <row r="29" spans="1:3" ht="15.75" customHeight="1">
      <c r="A29" s="20" t="s">
        <v>222</v>
      </c>
      <c r="B29" s="23">
        <v>960207</v>
      </c>
      <c r="C29" s="9" t="s">
        <v>114</v>
      </c>
    </row>
    <row r="30" spans="1:3" ht="15.75" customHeight="1">
      <c r="A30" s="20" t="s">
        <v>96</v>
      </c>
      <c r="B30" s="23">
        <v>64559</v>
      </c>
      <c r="C30" s="9" t="s">
        <v>114</v>
      </c>
    </row>
    <row r="31" spans="1:3" ht="15.75" customHeight="1">
      <c r="A31" s="20" t="s">
        <v>90</v>
      </c>
      <c r="B31" s="23">
        <v>145700</v>
      </c>
      <c r="C31" s="9" t="s">
        <v>114</v>
      </c>
    </row>
    <row r="33" spans="1:3" ht="15.75" customHeight="1">
      <c r="A33" s="20" t="s">
        <v>95</v>
      </c>
      <c r="B33" s="23">
        <v>31460</v>
      </c>
      <c r="C33" s="9" t="s">
        <v>93</v>
      </c>
    </row>
    <row r="34" spans="1:3" ht="15.75" customHeight="1">
      <c r="A34" s="20" t="s">
        <v>94</v>
      </c>
      <c r="B34" s="23">
        <v>80600</v>
      </c>
      <c r="C34" s="9" t="s">
        <v>93</v>
      </c>
    </row>
    <row r="35" spans="1:3" ht="15.75" customHeight="1">
      <c r="A35" s="20" t="s">
        <v>296</v>
      </c>
      <c r="B35" s="23">
        <v>501558</v>
      </c>
      <c r="C35" s="9" t="s">
        <v>93</v>
      </c>
    </row>
    <row r="37" spans="1:3" ht="15.75" customHeight="1">
      <c r="A37" s="20" t="s">
        <v>117</v>
      </c>
      <c r="B37" s="33">
        <v>180581</v>
      </c>
    </row>
    <row r="38" spans="1:3" ht="15.75" customHeight="1">
      <c r="A38" s="20" t="s">
        <v>116</v>
      </c>
      <c r="B38" s="33">
        <v>0</v>
      </c>
    </row>
    <row r="39" spans="1:3" ht="15.75" customHeight="1">
      <c r="A39" s="20" t="s">
        <v>119</v>
      </c>
      <c r="B39" s="33">
        <v>107389</v>
      </c>
    </row>
    <row r="40" spans="1:3" ht="15.75" customHeight="1">
      <c r="A40" s="20" t="s">
        <v>297</v>
      </c>
      <c r="B40" s="33">
        <v>293058</v>
      </c>
    </row>
    <row r="41" spans="1:3" ht="15.75" customHeight="1">
      <c r="A41" s="20" t="s">
        <v>115</v>
      </c>
      <c r="B41" s="33">
        <f>185158/6</f>
        <v>30859.666666666668</v>
      </c>
    </row>
    <row r="42" spans="1:3" ht="15.75" customHeight="1">
      <c r="A42" s="35"/>
    </row>
    <row r="47" spans="1:3" ht="15.75" customHeight="1">
      <c r="B47" s="3" t="s">
        <v>213</v>
      </c>
    </row>
    <row r="48" spans="1:3" ht="15.75" customHeight="1">
      <c r="A48" s="9" t="s">
        <v>298</v>
      </c>
      <c r="B48" s="9" t="s">
        <v>177</v>
      </c>
    </row>
    <row r="49" spans="1:3" ht="15.75" customHeight="1">
      <c r="A49" s="9" t="s">
        <v>298</v>
      </c>
      <c r="B49" s="9" t="s">
        <v>172</v>
      </c>
    </row>
    <row r="51" spans="1:3" ht="13">
      <c r="A51" s="9" t="s">
        <v>299</v>
      </c>
      <c r="B51" s="9" t="s">
        <v>300</v>
      </c>
      <c r="C51" s="9" t="s">
        <v>301</v>
      </c>
    </row>
    <row r="52" spans="1:3" ht="13">
      <c r="A52" s="9" t="s">
        <v>299</v>
      </c>
      <c r="B52" s="106" t="s">
        <v>302</v>
      </c>
      <c r="C52" s="9" t="s">
        <v>301</v>
      </c>
    </row>
    <row r="53" spans="1:3" ht="13">
      <c r="A53" s="9" t="s">
        <v>299</v>
      </c>
      <c r="B53" s="9" t="s">
        <v>303</v>
      </c>
      <c r="C53" s="9" t="s">
        <v>301</v>
      </c>
    </row>
    <row r="54" spans="1:3" ht="13">
      <c r="A54" s="9" t="s">
        <v>299</v>
      </c>
      <c r="B54" s="9" t="s">
        <v>304</v>
      </c>
      <c r="C54" s="9" t="s">
        <v>301</v>
      </c>
    </row>
    <row r="55" spans="1:3" ht="13">
      <c r="A55" s="9" t="s">
        <v>299</v>
      </c>
      <c r="B55" s="9" t="s">
        <v>305</v>
      </c>
      <c r="C55" s="9" t="s">
        <v>301</v>
      </c>
    </row>
    <row r="56" spans="1:3" ht="13">
      <c r="A56" s="9" t="s">
        <v>299</v>
      </c>
      <c r="B56" s="9" t="s">
        <v>306</v>
      </c>
      <c r="C56" s="9" t="s">
        <v>168</v>
      </c>
    </row>
    <row r="57" spans="1:3" ht="13">
      <c r="A57" s="9" t="s">
        <v>299</v>
      </c>
      <c r="B57" s="106" t="s">
        <v>307</v>
      </c>
      <c r="C57" s="9" t="s">
        <v>301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54"/>
  <sheetViews>
    <sheetView workbookViewId="0"/>
  </sheetViews>
  <sheetFormatPr baseColWidth="10" defaultColWidth="12.6640625" defaultRowHeight="15.75" customHeight="1"/>
  <cols>
    <col min="2" max="2" width="23.6640625" customWidth="1"/>
    <col min="3" max="3" width="17.83203125" customWidth="1"/>
  </cols>
  <sheetData>
    <row r="1" spans="1:18" ht="15.75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9" t="s">
        <v>15</v>
      </c>
      <c r="Q1" s="49" t="s">
        <v>16</v>
      </c>
      <c r="R1" s="48" t="s">
        <v>17</v>
      </c>
    </row>
    <row r="2" spans="1:18" ht="15.75" customHeight="1">
      <c r="A2" s="60">
        <v>1</v>
      </c>
      <c r="B2" s="26" t="s">
        <v>18</v>
      </c>
      <c r="C2" s="26" t="s">
        <v>19</v>
      </c>
      <c r="D2" s="6">
        <v>2350</v>
      </c>
      <c r="E2" s="53">
        <f t="shared" ref="E2:E51" si="0">D2*85</f>
        <v>199750</v>
      </c>
      <c r="F2" s="14">
        <v>126801</v>
      </c>
      <c r="G2" s="14">
        <v>2692</v>
      </c>
      <c r="H2" s="14">
        <v>8348</v>
      </c>
      <c r="I2" s="14">
        <v>31117</v>
      </c>
      <c r="J2" s="14">
        <v>7011</v>
      </c>
      <c r="K2" s="53">
        <v>15766</v>
      </c>
      <c r="L2" s="14">
        <v>2839</v>
      </c>
      <c r="M2" s="14">
        <v>19581</v>
      </c>
      <c r="N2" s="14">
        <v>1778</v>
      </c>
      <c r="O2" s="14">
        <v>2222</v>
      </c>
      <c r="P2" s="14">
        <v>2449</v>
      </c>
      <c r="Q2" s="14">
        <v>1280</v>
      </c>
      <c r="R2" s="53">
        <f t="shared" ref="R2:R52" si="1">E2-SUM(F2:Q2)</f>
        <v>-22134</v>
      </c>
    </row>
    <row r="3" spans="1:18" ht="15.75" customHeight="1">
      <c r="A3" s="60">
        <v>2</v>
      </c>
      <c r="B3" s="26"/>
      <c r="C3" s="26" t="s">
        <v>20</v>
      </c>
      <c r="D3" s="6">
        <v>2200</v>
      </c>
      <c r="E3" s="53">
        <f t="shared" si="0"/>
        <v>187000</v>
      </c>
      <c r="F3" s="14">
        <v>51800</v>
      </c>
      <c r="G3" s="14">
        <v>2692</v>
      </c>
      <c r="H3" s="14">
        <v>8348</v>
      </c>
      <c r="I3" s="14">
        <v>31117</v>
      </c>
      <c r="J3" s="14">
        <v>7011</v>
      </c>
      <c r="K3" s="53">
        <v>15766</v>
      </c>
      <c r="L3" s="14">
        <v>2839</v>
      </c>
      <c r="M3" s="14">
        <v>19581</v>
      </c>
      <c r="N3" s="14">
        <v>1778</v>
      </c>
      <c r="O3" s="14">
        <v>2222</v>
      </c>
      <c r="P3" s="14">
        <v>2449</v>
      </c>
      <c r="Q3" s="14">
        <v>1280</v>
      </c>
      <c r="R3" s="53">
        <f t="shared" si="1"/>
        <v>40117</v>
      </c>
    </row>
    <row r="4" spans="1:18" ht="15.75" customHeight="1">
      <c r="A4" s="60">
        <v>3</v>
      </c>
      <c r="B4" s="26" t="s">
        <v>21</v>
      </c>
      <c r="C4" s="26" t="s">
        <v>22</v>
      </c>
      <c r="D4" s="6">
        <v>2000</v>
      </c>
      <c r="E4" s="53">
        <f t="shared" si="0"/>
        <v>170000</v>
      </c>
      <c r="F4" s="14">
        <v>55520</v>
      </c>
      <c r="G4" s="14">
        <v>2692</v>
      </c>
      <c r="H4" s="14">
        <v>8348</v>
      </c>
      <c r="I4" s="14">
        <v>31117</v>
      </c>
      <c r="J4" s="14">
        <v>7011</v>
      </c>
      <c r="K4" s="53">
        <v>15766</v>
      </c>
      <c r="L4" s="14">
        <v>2839</v>
      </c>
      <c r="M4" s="14">
        <v>19581</v>
      </c>
      <c r="N4" s="14">
        <v>1778</v>
      </c>
      <c r="O4" s="14">
        <v>2222</v>
      </c>
      <c r="P4" s="14">
        <v>2449</v>
      </c>
      <c r="Q4" s="14">
        <v>1280</v>
      </c>
      <c r="R4" s="53">
        <f t="shared" si="1"/>
        <v>19397</v>
      </c>
    </row>
    <row r="5" spans="1:18" ht="15.75" customHeight="1">
      <c r="A5" s="60">
        <v>4</v>
      </c>
      <c r="B5" s="26"/>
      <c r="C5" s="26" t="s">
        <v>23</v>
      </c>
      <c r="D5" s="6">
        <v>2000</v>
      </c>
      <c r="E5" s="53">
        <f t="shared" si="0"/>
        <v>170000</v>
      </c>
      <c r="F5" s="14">
        <v>35800</v>
      </c>
      <c r="G5" s="14">
        <v>2692</v>
      </c>
      <c r="H5" s="14">
        <v>8348</v>
      </c>
      <c r="I5" s="14">
        <v>31117</v>
      </c>
      <c r="J5" s="14">
        <v>7011</v>
      </c>
      <c r="K5" s="53">
        <v>15766</v>
      </c>
      <c r="L5" s="14">
        <v>2839</v>
      </c>
      <c r="M5" s="14">
        <v>19581</v>
      </c>
      <c r="N5" s="14">
        <v>1778</v>
      </c>
      <c r="O5" s="14">
        <v>2222</v>
      </c>
      <c r="P5" s="14">
        <v>2449</v>
      </c>
      <c r="Q5" s="14">
        <v>1280</v>
      </c>
      <c r="R5" s="53">
        <f t="shared" si="1"/>
        <v>39117</v>
      </c>
    </row>
    <row r="6" spans="1:18" ht="15.75" customHeight="1">
      <c r="A6" s="60">
        <v>5</v>
      </c>
      <c r="B6" s="26"/>
      <c r="C6" s="26" t="s">
        <v>24</v>
      </c>
      <c r="D6" s="6">
        <v>2000</v>
      </c>
      <c r="E6" s="53">
        <f t="shared" si="0"/>
        <v>170000</v>
      </c>
      <c r="F6" s="14">
        <v>53800</v>
      </c>
      <c r="G6" s="14">
        <v>2692</v>
      </c>
      <c r="H6" s="14">
        <v>8348</v>
      </c>
      <c r="I6" s="14">
        <v>31117</v>
      </c>
      <c r="J6" s="14">
        <v>7011</v>
      </c>
      <c r="K6" s="53">
        <v>15766</v>
      </c>
      <c r="L6" s="14">
        <v>2839</v>
      </c>
      <c r="M6" s="14">
        <v>19581</v>
      </c>
      <c r="N6" s="14">
        <v>1778</v>
      </c>
      <c r="O6" s="14">
        <v>2222</v>
      </c>
      <c r="P6" s="14">
        <v>2449</v>
      </c>
      <c r="Q6" s="14">
        <v>1280</v>
      </c>
      <c r="R6" s="53">
        <f t="shared" si="1"/>
        <v>21117</v>
      </c>
    </row>
    <row r="7" spans="1:18" ht="15.75" customHeight="1">
      <c r="A7" s="60">
        <v>6</v>
      </c>
      <c r="B7" s="26" t="s">
        <v>25</v>
      </c>
      <c r="C7" s="26" t="s">
        <v>26</v>
      </c>
      <c r="D7" s="6">
        <v>1650</v>
      </c>
      <c r="E7" s="53">
        <f t="shared" si="0"/>
        <v>140250</v>
      </c>
      <c r="F7" s="14">
        <v>43000</v>
      </c>
      <c r="G7" s="14">
        <v>2692</v>
      </c>
      <c r="H7" s="14">
        <v>8348</v>
      </c>
      <c r="I7" s="14">
        <v>31117</v>
      </c>
      <c r="J7" s="14">
        <v>7011</v>
      </c>
      <c r="K7" s="53">
        <v>15766</v>
      </c>
      <c r="L7" s="14">
        <v>2839</v>
      </c>
      <c r="M7" s="14">
        <v>19581</v>
      </c>
      <c r="N7" s="14">
        <v>1778</v>
      </c>
      <c r="O7" s="14">
        <v>2222</v>
      </c>
      <c r="P7" s="14">
        <v>2449</v>
      </c>
      <c r="Q7" s="14">
        <v>1280</v>
      </c>
      <c r="R7" s="53">
        <f t="shared" si="1"/>
        <v>2167</v>
      </c>
    </row>
    <row r="8" spans="1:18" ht="15.75" customHeight="1">
      <c r="A8" s="60">
        <v>7</v>
      </c>
      <c r="B8" s="26" t="s">
        <v>27</v>
      </c>
      <c r="C8" s="26" t="s">
        <v>28</v>
      </c>
      <c r="D8" s="6">
        <v>2500</v>
      </c>
      <c r="E8" s="53">
        <f t="shared" si="0"/>
        <v>212500</v>
      </c>
      <c r="F8" s="39">
        <v>107000</v>
      </c>
      <c r="G8" s="14">
        <v>2692</v>
      </c>
      <c r="H8" s="14">
        <v>8348</v>
      </c>
      <c r="I8" s="14">
        <v>31117</v>
      </c>
      <c r="J8" s="14">
        <v>7011</v>
      </c>
      <c r="K8" s="53">
        <v>15766</v>
      </c>
      <c r="L8" s="14">
        <v>2839</v>
      </c>
      <c r="M8" s="14">
        <v>19581</v>
      </c>
      <c r="N8" s="14">
        <v>1778</v>
      </c>
      <c r="O8" s="14">
        <v>2222</v>
      </c>
      <c r="P8" s="14">
        <v>2449</v>
      </c>
      <c r="Q8" s="14">
        <v>1280</v>
      </c>
      <c r="R8" s="53">
        <f t="shared" si="1"/>
        <v>10417</v>
      </c>
    </row>
    <row r="9" spans="1:18" ht="15.75" customHeight="1">
      <c r="A9" s="60">
        <v>8</v>
      </c>
      <c r="B9" s="26"/>
      <c r="C9" s="26" t="s">
        <v>29</v>
      </c>
      <c r="D9" s="6">
        <v>2000</v>
      </c>
      <c r="E9" s="53">
        <f t="shared" si="0"/>
        <v>170000</v>
      </c>
      <c r="F9" s="14">
        <v>67531</v>
      </c>
      <c r="G9" s="14">
        <v>2692</v>
      </c>
      <c r="H9" s="14">
        <v>8348</v>
      </c>
      <c r="I9" s="14">
        <v>31117</v>
      </c>
      <c r="J9" s="14">
        <v>7011</v>
      </c>
      <c r="K9" s="53">
        <v>15766</v>
      </c>
      <c r="L9" s="14">
        <v>2839</v>
      </c>
      <c r="M9" s="14">
        <v>19581</v>
      </c>
      <c r="N9" s="14">
        <v>1778</v>
      </c>
      <c r="O9" s="14">
        <v>2222</v>
      </c>
      <c r="P9" s="14">
        <v>2449</v>
      </c>
      <c r="Q9" s="14">
        <v>1280</v>
      </c>
      <c r="R9" s="53">
        <f t="shared" si="1"/>
        <v>7386</v>
      </c>
    </row>
    <row r="10" spans="1:18" ht="15.75" customHeight="1">
      <c r="A10" s="60">
        <v>9</v>
      </c>
      <c r="B10" s="26"/>
      <c r="C10" s="26" t="s">
        <v>109</v>
      </c>
      <c r="D10" s="6">
        <v>2000</v>
      </c>
      <c r="E10" s="53">
        <f t="shared" si="0"/>
        <v>170000</v>
      </c>
      <c r="F10" s="14">
        <v>39600</v>
      </c>
      <c r="G10" s="14">
        <v>2692</v>
      </c>
      <c r="H10" s="14">
        <v>8348</v>
      </c>
      <c r="I10" s="14">
        <v>31117</v>
      </c>
      <c r="J10" s="14">
        <v>7011</v>
      </c>
      <c r="K10" s="53">
        <v>15766</v>
      </c>
      <c r="L10" s="14">
        <v>2839</v>
      </c>
      <c r="M10" s="14">
        <v>19581</v>
      </c>
      <c r="N10" s="14">
        <v>1778</v>
      </c>
      <c r="O10" s="14">
        <v>2222</v>
      </c>
      <c r="P10" s="14">
        <v>2449</v>
      </c>
      <c r="Q10" s="14">
        <v>1280</v>
      </c>
      <c r="R10" s="53">
        <f t="shared" si="1"/>
        <v>35317</v>
      </c>
    </row>
    <row r="11" spans="1:18" ht="15.75" customHeight="1">
      <c r="A11" s="60">
        <v>10</v>
      </c>
      <c r="B11" s="26" t="s">
        <v>30</v>
      </c>
      <c r="C11" s="26" t="s">
        <v>31</v>
      </c>
      <c r="D11" s="6">
        <v>1500</v>
      </c>
      <c r="E11" s="53">
        <f t="shared" si="0"/>
        <v>127500</v>
      </c>
      <c r="F11" s="14">
        <v>38904</v>
      </c>
      <c r="G11" s="14">
        <v>2692</v>
      </c>
      <c r="H11" s="14">
        <v>8348</v>
      </c>
      <c r="I11" s="14">
        <v>31117</v>
      </c>
      <c r="J11" s="14">
        <v>7011</v>
      </c>
      <c r="K11" s="53">
        <v>15766</v>
      </c>
      <c r="L11" s="14">
        <v>2839</v>
      </c>
      <c r="M11" s="14">
        <v>19581</v>
      </c>
      <c r="N11" s="14">
        <v>1778</v>
      </c>
      <c r="O11" s="14">
        <v>2222</v>
      </c>
      <c r="P11" s="14">
        <v>2449</v>
      </c>
      <c r="Q11" s="14">
        <v>1280</v>
      </c>
      <c r="R11" s="53">
        <f t="shared" si="1"/>
        <v>-6487</v>
      </c>
    </row>
    <row r="12" spans="1:18" ht="15.75" customHeight="1">
      <c r="A12" s="60">
        <v>11</v>
      </c>
      <c r="B12" s="26"/>
      <c r="C12" s="26" t="s">
        <v>32</v>
      </c>
      <c r="D12" s="6">
        <v>1500</v>
      </c>
      <c r="E12" s="53">
        <f t="shared" si="0"/>
        <v>127500</v>
      </c>
      <c r="F12" s="14">
        <v>38360</v>
      </c>
      <c r="G12" s="14">
        <v>2692</v>
      </c>
      <c r="H12" s="14">
        <v>8348</v>
      </c>
      <c r="I12" s="14">
        <v>31117</v>
      </c>
      <c r="J12" s="14">
        <v>7011</v>
      </c>
      <c r="K12" s="53">
        <v>15766</v>
      </c>
      <c r="L12" s="14">
        <v>2839</v>
      </c>
      <c r="M12" s="14">
        <v>19581</v>
      </c>
      <c r="N12" s="14">
        <v>1778</v>
      </c>
      <c r="O12" s="14">
        <v>2222</v>
      </c>
      <c r="P12" s="14">
        <v>2449</v>
      </c>
      <c r="Q12" s="14">
        <v>1280</v>
      </c>
      <c r="R12" s="53">
        <f t="shared" si="1"/>
        <v>-5943</v>
      </c>
    </row>
    <row r="13" spans="1:18" ht="15.75" customHeight="1">
      <c r="A13" s="60">
        <v>12</v>
      </c>
      <c r="B13" s="26"/>
      <c r="C13" s="26" t="s">
        <v>33</v>
      </c>
      <c r="D13" s="6">
        <v>1500</v>
      </c>
      <c r="E13" s="53">
        <f t="shared" si="0"/>
        <v>127500</v>
      </c>
      <c r="F13" s="14">
        <v>44600</v>
      </c>
      <c r="G13" s="14">
        <v>2692</v>
      </c>
      <c r="H13" s="14">
        <v>8348</v>
      </c>
      <c r="I13" s="14">
        <v>31117</v>
      </c>
      <c r="J13" s="14">
        <v>7011</v>
      </c>
      <c r="K13" s="53">
        <v>15766</v>
      </c>
      <c r="L13" s="14">
        <v>2839</v>
      </c>
      <c r="M13" s="14">
        <v>19581</v>
      </c>
      <c r="N13" s="14">
        <v>1778</v>
      </c>
      <c r="O13" s="14">
        <v>2222</v>
      </c>
      <c r="P13" s="14">
        <v>2449</v>
      </c>
      <c r="Q13" s="14">
        <v>1280</v>
      </c>
      <c r="R13" s="53">
        <f t="shared" si="1"/>
        <v>-12183</v>
      </c>
    </row>
    <row r="14" spans="1:18" ht="15.75" customHeight="1">
      <c r="A14" s="60">
        <v>13</v>
      </c>
      <c r="B14" s="26" t="s">
        <v>34</v>
      </c>
      <c r="C14" s="26" t="s">
        <v>35</v>
      </c>
      <c r="D14" s="6">
        <v>2200</v>
      </c>
      <c r="E14" s="53">
        <f t="shared" si="0"/>
        <v>187000</v>
      </c>
      <c r="F14" s="39">
        <v>91887</v>
      </c>
      <c r="G14" s="14">
        <v>2692</v>
      </c>
      <c r="H14" s="14">
        <v>8348</v>
      </c>
      <c r="I14" s="14">
        <v>31117</v>
      </c>
      <c r="J14" s="14">
        <v>7011</v>
      </c>
      <c r="K14" s="53">
        <v>15766</v>
      </c>
      <c r="L14" s="14">
        <v>2839</v>
      </c>
      <c r="M14" s="14">
        <v>19581</v>
      </c>
      <c r="N14" s="14">
        <v>1778</v>
      </c>
      <c r="O14" s="14">
        <v>2222</v>
      </c>
      <c r="P14" s="14">
        <v>2449</v>
      </c>
      <c r="Q14" s="14">
        <v>1280</v>
      </c>
      <c r="R14" s="53">
        <f t="shared" si="1"/>
        <v>30</v>
      </c>
    </row>
    <row r="15" spans="1:18" ht="15.75" customHeight="1">
      <c r="A15" s="60">
        <v>14</v>
      </c>
      <c r="B15" s="26"/>
      <c r="C15" s="26" t="s">
        <v>36</v>
      </c>
      <c r="D15" s="6">
        <v>2000</v>
      </c>
      <c r="E15" s="53">
        <f t="shared" si="0"/>
        <v>170000</v>
      </c>
      <c r="F15" s="14">
        <v>46584</v>
      </c>
      <c r="G15" s="14">
        <v>2692</v>
      </c>
      <c r="H15" s="14">
        <v>8348</v>
      </c>
      <c r="I15" s="14">
        <v>31117</v>
      </c>
      <c r="J15" s="14">
        <v>7011</v>
      </c>
      <c r="K15" s="53">
        <v>15766</v>
      </c>
      <c r="L15" s="14">
        <v>2839</v>
      </c>
      <c r="M15" s="14">
        <v>19581</v>
      </c>
      <c r="N15" s="14">
        <v>1778</v>
      </c>
      <c r="O15" s="14">
        <v>2222</v>
      </c>
      <c r="P15" s="14">
        <v>2449</v>
      </c>
      <c r="Q15" s="14">
        <v>1280</v>
      </c>
      <c r="R15" s="53">
        <f t="shared" si="1"/>
        <v>28333</v>
      </c>
    </row>
    <row r="16" spans="1:18" ht="15.75" customHeight="1">
      <c r="A16" s="60">
        <v>15</v>
      </c>
      <c r="B16" s="26"/>
      <c r="C16" s="26" t="s">
        <v>37</v>
      </c>
      <c r="D16" s="6">
        <v>2300</v>
      </c>
      <c r="E16" s="53">
        <f t="shared" si="0"/>
        <v>195500</v>
      </c>
      <c r="F16" s="14">
        <v>89115</v>
      </c>
      <c r="G16" s="14">
        <v>2692</v>
      </c>
      <c r="H16" s="14">
        <v>8348</v>
      </c>
      <c r="I16" s="14">
        <v>31117</v>
      </c>
      <c r="J16" s="14">
        <v>7011</v>
      </c>
      <c r="K16" s="53">
        <v>15766</v>
      </c>
      <c r="L16" s="14">
        <v>2839</v>
      </c>
      <c r="M16" s="14">
        <v>19581</v>
      </c>
      <c r="N16" s="14">
        <v>1778</v>
      </c>
      <c r="O16" s="14">
        <v>2222</v>
      </c>
      <c r="P16" s="14">
        <v>2449</v>
      </c>
      <c r="Q16" s="14">
        <v>1280</v>
      </c>
      <c r="R16" s="53">
        <f t="shared" si="1"/>
        <v>11302</v>
      </c>
    </row>
    <row r="17" spans="1:18" ht="15.75" customHeight="1">
      <c r="A17" s="60">
        <v>16</v>
      </c>
      <c r="B17" s="26"/>
      <c r="C17" s="26" t="s">
        <v>38</v>
      </c>
      <c r="D17" s="6">
        <v>2000</v>
      </c>
      <c r="E17" s="53">
        <f t="shared" si="0"/>
        <v>170000</v>
      </c>
      <c r="F17" s="14">
        <v>63122</v>
      </c>
      <c r="G17" s="14">
        <v>2692</v>
      </c>
      <c r="H17" s="14">
        <v>8348</v>
      </c>
      <c r="I17" s="14">
        <v>31117</v>
      </c>
      <c r="J17" s="14">
        <v>7011</v>
      </c>
      <c r="K17" s="53">
        <v>15766</v>
      </c>
      <c r="L17" s="14">
        <v>2839</v>
      </c>
      <c r="M17" s="14">
        <v>19581</v>
      </c>
      <c r="N17" s="14">
        <v>1778</v>
      </c>
      <c r="O17" s="14">
        <v>2222</v>
      </c>
      <c r="P17" s="14">
        <v>2449</v>
      </c>
      <c r="Q17" s="14">
        <v>1280</v>
      </c>
      <c r="R17" s="53">
        <f t="shared" si="1"/>
        <v>11795</v>
      </c>
    </row>
    <row r="18" spans="1:18" ht="15.75" customHeight="1">
      <c r="A18" s="60">
        <v>17</v>
      </c>
      <c r="B18" s="26"/>
      <c r="C18" s="26" t="s">
        <v>39</v>
      </c>
      <c r="D18" s="6">
        <v>2000</v>
      </c>
      <c r="E18" s="53">
        <f t="shared" si="0"/>
        <v>170000</v>
      </c>
      <c r="F18" s="14">
        <v>42000</v>
      </c>
      <c r="G18" s="14">
        <v>2692</v>
      </c>
      <c r="H18" s="14">
        <v>8348</v>
      </c>
      <c r="I18" s="14">
        <v>31117</v>
      </c>
      <c r="J18" s="14">
        <v>7011</v>
      </c>
      <c r="K18" s="53">
        <v>15766</v>
      </c>
      <c r="L18" s="14">
        <v>2839</v>
      </c>
      <c r="M18" s="14">
        <v>19581</v>
      </c>
      <c r="N18" s="14">
        <v>1778</v>
      </c>
      <c r="O18" s="14">
        <v>2222</v>
      </c>
      <c r="P18" s="14">
        <v>2449</v>
      </c>
      <c r="Q18" s="14">
        <v>1280</v>
      </c>
      <c r="R18" s="53">
        <f t="shared" si="1"/>
        <v>32917</v>
      </c>
    </row>
    <row r="19" spans="1:18" ht="15.75" customHeight="1">
      <c r="A19" s="60">
        <v>18</v>
      </c>
      <c r="B19" s="26"/>
      <c r="C19" s="26" t="s">
        <v>40</v>
      </c>
      <c r="D19" s="6">
        <v>1800</v>
      </c>
      <c r="E19" s="53">
        <f t="shared" si="0"/>
        <v>153000</v>
      </c>
      <c r="F19" s="14">
        <v>39168</v>
      </c>
      <c r="G19" s="14">
        <v>2692</v>
      </c>
      <c r="H19" s="14">
        <v>8348</v>
      </c>
      <c r="I19" s="14">
        <v>31117</v>
      </c>
      <c r="J19" s="14">
        <v>7011</v>
      </c>
      <c r="K19" s="53">
        <v>15766</v>
      </c>
      <c r="L19" s="14">
        <v>2839</v>
      </c>
      <c r="M19" s="14">
        <v>19581</v>
      </c>
      <c r="N19" s="14">
        <v>1778</v>
      </c>
      <c r="O19" s="14">
        <v>2222</v>
      </c>
      <c r="P19" s="14">
        <v>2449</v>
      </c>
      <c r="Q19" s="14">
        <v>1280</v>
      </c>
      <c r="R19" s="53">
        <f t="shared" si="1"/>
        <v>18749</v>
      </c>
    </row>
    <row r="20" spans="1:18" ht="15.75" customHeight="1">
      <c r="A20" s="60">
        <v>19</v>
      </c>
      <c r="B20" s="26"/>
      <c r="C20" s="26" t="s">
        <v>41</v>
      </c>
      <c r="D20" s="6">
        <v>2000</v>
      </c>
      <c r="E20" s="53">
        <f t="shared" si="0"/>
        <v>170000</v>
      </c>
      <c r="F20" s="14">
        <v>37000</v>
      </c>
      <c r="G20" s="14">
        <v>2692</v>
      </c>
      <c r="H20" s="14">
        <v>8348</v>
      </c>
      <c r="I20" s="14">
        <v>31117</v>
      </c>
      <c r="J20" s="14">
        <v>7011</v>
      </c>
      <c r="K20" s="53">
        <v>15766</v>
      </c>
      <c r="L20" s="14">
        <v>2839</v>
      </c>
      <c r="M20" s="14">
        <v>19581</v>
      </c>
      <c r="N20" s="14">
        <v>1778</v>
      </c>
      <c r="O20" s="14">
        <v>2222</v>
      </c>
      <c r="P20" s="14">
        <v>2449</v>
      </c>
      <c r="Q20" s="14">
        <v>1280</v>
      </c>
      <c r="R20" s="53">
        <f t="shared" si="1"/>
        <v>37917</v>
      </c>
    </row>
    <row r="21" spans="1:18" ht="15.75" customHeight="1">
      <c r="A21" s="60">
        <v>20</v>
      </c>
      <c r="B21" s="26"/>
      <c r="C21" s="26" t="s">
        <v>42</v>
      </c>
      <c r="D21" s="6">
        <v>2000</v>
      </c>
      <c r="E21" s="53">
        <f t="shared" si="0"/>
        <v>170000</v>
      </c>
      <c r="F21" s="14">
        <v>48800</v>
      </c>
      <c r="G21" s="14">
        <v>2692</v>
      </c>
      <c r="H21" s="14">
        <v>8348</v>
      </c>
      <c r="I21" s="14">
        <v>31117</v>
      </c>
      <c r="J21" s="14">
        <v>7011</v>
      </c>
      <c r="K21" s="53">
        <v>15766</v>
      </c>
      <c r="L21" s="14">
        <v>2839</v>
      </c>
      <c r="M21" s="14">
        <v>19581</v>
      </c>
      <c r="N21" s="14">
        <v>1778</v>
      </c>
      <c r="O21" s="14">
        <v>2222</v>
      </c>
      <c r="P21" s="14">
        <v>2449</v>
      </c>
      <c r="Q21" s="14">
        <v>1280</v>
      </c>
      <c r="R21" s="53">
        <f t="shared" si="1"/>
        <v>26117</v>
      </c>
    </row>
    <row r="22" spans="1:18" ht="15.75" customHeight="1">
      <c r="A22" s="60">
        <v>21</v>
      </c>
      <c r="B22" s="26"/>
      <c r="C22" s="26" t="s">
        <v>43</v>
      </c>
      <c r="D22" s="6">
        <v>2000</v>
      </c>
      <c r="E22" s="53">
        <f t="shared" si="0"/>
        <v>170000</v>
      </c>
      <c r="F22" s="14">
        <v>41768</v>
      </c>
      <c r="G22" s="14">
        <v>2692</v>
      </c>
      <c r="H22" s="14">
        <v>8348</v>
      </c>
      <c r="I22" s="14">
        <v>31117</v>
      </c>
      <c r="J22" s="14">
        <v>7011</v>
      </c>
      <c r="K22" s="53">
        <v>15766</v>
      </c>
      <c r="L22" s="14">
        <v>2839</v>
      </c>
      <c r="M22" s="14">
        <v>19581</v>
      </c>
      <c r="N22" s="14">
        <v>1778</v>
      </c>
      <c r="O22" s="14">
        <v>2222</v>
      </c>
      <c r="P22" s="14">
        <v>2449</v>
      </c>
      <c r="Q22" s="14">
        <v>1280</v>
      </c>
      <c r="R22" s="53">
        <f t="shared" si="1"/>
        <v>33149</v>
      </c>
    </row>
    <row r="23" spans="1:18" ht="15.75" customHeight="1">
      <c r="A23" s="60">
        <v>22</v>
      </c>
      <c r="B23" s="26"/>
      <c r="C23" s="26" t="s">
        <v>44</v>
      </c>
      <c r="D23" s="6">
        <v>1600</v>
      </c>
      <c r="E23" s="53">
        <f t="shared" si="0"/>
        <v>136000</v>
      </c>
      <c r="F23" s="14">
        <v>49840</v>
      </c>
      <c r="G23" s="14">
        <v>2692</v>
      </c>
      <c r="H23" s="14">
        <v>8348</v>
      </c>
      <c r="I23" s="14">
        <v>31117</v>
      </c>
      <c r="J23" s="14">
        <v>7011</v>
      </c>
      <c r="K23" s="53">
        <v>15766</v>
      </c>
      <c r="L23" s="14">
        <v>2839</v>
      </c>
      <c r="M23" s="14">
        <v>19581</v>
      </c>
      <c r="N23" s="14">
        <v>1778</v>
      </c>
      <c r="O23" s="14">
        <v>2222</v>
      </c>
      <c r="P23" s="14">
        <v>2449</v>
      </c>
      <c r="Q23" s="14">
        <v>1280</v>
      </c>
      <c r="R23" s="53">
        <f t="shared" si="1"/>
        <v>-8923</v>
      </c>
    </row>
    <row r="24" spans="1:18" ht="15.75" customHeight="1">
      <c r="A24" s="60">
        <v>23</v>
      </c>
      <c r="B24" s="26"/>
      <c r="C24" s="26" t="s">
        <v>85</v>
      </c>
      <c r="D24" s="6">
        <v>2000</v>
      </c>
      <c r="E24" s="53">
        <f t="shared" si="0"/>
        <v>170000</v>
      </c>
      <c r="F24" s="14">
        <v>38800</v>
      </c>
      <c r="G24" s="14">
        <v>2692</v>
      </c>
      <c r="H24" s="14">
        <v>8348</v>
      </c>
      <c r="I24" s="14">
        <v>31117</v>
      </c>
      <c r="J24" s="14">
        <v>7011</v>
      </c>
      <c r="K24" s="53">
        <v>15766</v>
      </c>
      <c r="L24" s="14">
        <v>2839</v>
      </c>
      <c r="M24" s="14">
        <v>19581</v>
      </c>
      <c r="N24" s="14">
        <v>1778</v>
      </c>
      <c r="O24" s="14">
        <v>2222</v>
      </c>
      <c r="P24" s="14">
        <v>2449</v>
      </c>
      <c r="Q24" s="14">
        <v>1280</v>
      </c>
      <c r="R24" s="53">
        <f t="shared" si="1"/>
        <v>36117</v>
      </c>
    </row>
    <row r="25" spans="1:18" ht="15.75" customHeight="1">
      <c r="A25" s="60">
        <v>24</v>
      </c>
      <c r="B25" s="26"/>
      <c r="C25" s="26" t="s">
        <v>45</v>
      </c>
      <c r="D25" s="6">
        <v>2000</v>
      </c>
      <c r="E25" s="53">
        <f t="shared" si="0"/>
        <v>170000</v>
      </c>
      <c r="F25" s="14">
        <v>85000</v>
      </c>
      <c r="G25" s="14">
        <v>2692</v>
      </c>
      <c r="H25" s="14">
        <v>8348</v>
      </c>
      <c r="I25" s="14">
        <v>31117</v>
      </c>
      <c r="J25" s="14">
        <v>7011</v>
      </c>
      <c r="K25" s="53">
        <v>15766</v>
      </c>
      <c r="L25" s="14">
        <v>2839</v>
      </c>
      <c r="M25" s="14">
        <v>19581</v>
      </c>
      <c r="N25" s="14">
        <v>1778</v>
      </c>
      <c r="O25" s="14">
        <v>2222</v>
      </c>
      <c r="P25" s="14">
        <v>2449</v>
      </c>
      <c r="Q25" s="14">
        <v>1280</v>
      </c>
      <c r="R25" s="53">
        <f t="shared" si="1"/>
        <v>-10083</v>
      </c>
    </row>
    <row r="26" spans="1:18" ht="15.75" customHeight="1">
      <c r="A26" s="60">
        <v>25</v>
      </c>
      <c r="B26" s="26" t="s">
        <v>46</v>
      </c>
      <c r="C26" s="26" t="s">
        <v>47</v>
      </c>
      <c r="D26" s="6">
        <v>2200</v>
      </c>
      <c r="E26" s="53">
        <f t="shared" si="0"/>
        <v>187000</v>
      </c>
      <c r="F26" s="14">
        <v>67327</v>
      </c>
      <c r="G26" s="14">
        <v>2692</v>
      </c>
      <c r="H26" s="14">
        <v>8348</v>
      </c>
      <c r="I26" s="14">
        <v>31117</v>
      </c>
      <c r="J26" s="14">
        <v>7011</v>
      </c>
      <c r="K26" s="53">
        <v>15766</v>
      </c>
      <c r="L26" s="14">
        <v>2839</v>
      </c>
      <c r="M26" s="14">
        <v>19581</v>
      </c>
      <c r="N26" s="14">
        <v>1778</v>
      </c>
      <c r="O26" s="14">
        <v>2222</v>
      </c>
      <c r="P26" s="14">
        <v>2449</v>
      </c>
      <c r="Q26" s="14">
        <v>1280</v>
      </c>
      <c r="R26" s="53">
        <f t="shared" si="1"/>
        <v>24590</v>
      </c>
    </row>
    <row r="27" spans="1:18" ht="15.75" customHeight="1">
      <c r="A27" s="60">
        <v>26</v>
      </c>
      <c r="B27" s="26"/>
      <c r="C27" s="26" t="s">
        <v>48</v>
      </c>
      <c r="D27" s="6">
        <v>2300</v>
      </c>
      <c r="E27" s="53">
        <f t="shared" si="0"/>
        <v>195500</v>
      </c>
      <c r="F27" s="39">
        <v>70000</v>
      </c>
      <c r="G27" s="14">
        <v>2692</v>
      </c>
      <c r="H27" s="14">
        <v>8348</v>
      </c>
      <c r="I27" s="14">
        <v>31117</v>
      </c>
      <c r="J27" s="14">
        <v>7011</v>
      </c>
      <c r="K27" s="53">
        <v>15766</v>
      </c>
      <c r="L27" s="14">
        <v>2839</v>
      </c>
      <c r="M27" s="14">
        <v>19581</v>
      </c>
      <c r="N27" s="14">
        <v>1778</v>
      </c>
      <c r="O27" s="14">
        <v>2222</v>
      </c>
      <c r="P27" s="14">
        <v>2449</v>
      </c>
      <c r="Q27" s="14">
        <v>1280</v>
      </c>
      <c r="R27" s="53">
        <f t="shared" si="1"/>
        <v>30417</v>
      </c>
    </row>
    <row r="28" spans="1:18" ht="15.75" customHeight="1">
      <c r="A28" s="60">
        <v>27</v>
      </c>
      <c r="B28" s="26"/>
      <c r="C28" s="26" t="s">
        <v>49</v>
      </c>
      <c r="D28" s="6">
        <v>2100</v>
      </c>
      <c r="E28" s="53">
        <f t="shared" si="0"/>
        <v>178500</v>
      </c>
      <c r="F28" s="14">
        <v>46304</v>
      </c>
      <c r="G28" s="14">
        <v>2692</v>
      </c>
      <c r="H28" s="14">
        <v>8348</v>
      </c>
      <c r="I28" s="14">
        <v>31117</v>
      </c>
      <c r="J28" s="14">
        <v>7011</v>
      </c>
      <c r="K28" s="53">
        <v>15766</v>
      </c>
      <c r="L28" s="14">
        <v>2839</v>
      </c>
      <c r="M28" s="14">
        <v>19581</v>
      </c>
      <c r="N28" s="14">
        <v>1778</v>
      </c>
      <c r="O28" s="14">
        <v>2222</v>
      </c>
      <c r="P28" s="14">
        <v>2449</v>
      </c>
      <c r="Q28" s="14">
        <v>1280</v>
      </c>
      <c r="R28" s="53">
        <f t="shared" si="1"/>
        <v>37113</v>
      </c>
    </row>
    <row r="29" spans="1:18" ht="15.75" customHeight="1">
      <c r="A29" s="60">
        <v>28</v>
      </c>
      <c r="B29" s="26" t="s">
        <v>50</v>
      </c>
      <c r="C29" s="26" t="s">
        <v>51</v>
      </c>
      <c r="D29" s="6">
        <v>2000</v>
      </c>
      <c r="E29" s="53">
        <f t="shared" si="0"/>
        <v>170000</v>
      </c>
      <c r="F29" s="39">
        <v>81068</v>
      </c>
      <c r="G29" s="14">
        <v>2692</v>
      </c>
      <c r="H29" s="14">
        <v>8348</v>
      </c>
      <c r="I29" s="14">
        <v>31117</v>
      </c>
      <c r="J29" s="14">
        <v>7011</v>
      </c>
      <c r="K29" s="53">
        <v>15766</v>
      </c>
      <c r="L29" s="14">
        <v>2839</v>
      </c>
      <c r="M29" s="14">
        <v>19581</v>
      </c>
      <c r="N29" s="14">
        <v>1778</v>
      </c>
      <c r="O29" s="14">
        <v>2222</v>
      </c>
      <c r="P29" s="14">
        <v>2449</v>
      </c>
      <c r="Q29" s="14">
        <v>1280</v>
      </c>
      <c r="R29" s="53">
        <f t="shared" si="1"/>
        <v>-6151</v>
      </c>
    </row>
    <row r="30" spans="1:18" ht="15.75" customHeight="1">
      <c r="A30" s="60">
        <v>29</v>
      </c>
      <c r="B30" s="26"/>
      <c r="C30" s="26" t="s">
        <v>52</v>
      </c>
      <c r="D30" s="6">
        <v>2000</v>
      </c>
      <c r="E30" s="53">
        <f t="shared" si="0"/>
        <v>170000</v>
      </c>
      <c r="F30" s="39">
        <v>81800</v>
      </c>
      <c r="G30" s="14">
        <v>2692</v>
      </c>
      <c r="H30" s="14">
        <v>8348</v>
      </c>
      <c r="I30" s="14">
        <v>31117</v>
      </c>
      <c r="J30" s="14">
        <v>7011</v>
      </c>
      <c r="K30" s="53">
        <v>15766</v>
      </c>
      <c r="L30" s="14">
        <v>2839</v>
      </c>
      <c r="M30" s="14">
        <v>19581</v>
      </c>
      <c r="N30" s="14">
        <v>1778</v>
      </c>
      <c r="O30" s="14">
        <v>2222</v>
      </c>
      <c r="P30" s="14">
        <v>2449</v>
      </c>
      <c r="Q30" s="14">
        <v>1280</v>
      </c>
      <c r="R30" s="53">
        <f t="shared" si="1"/>
        <v>-6883</v>
      </c>
    </row>
    <row r="31" spans="1:18" ht="15.75" customHeight="1">
      <c r="A31" s="60">
        <v>30</v>
      </c>
      <c r="B31" s="26" t="s">
        <v>53</v>
      </c>
      <c r="C31" s="26" t="s">
        <v>54</v>
      </c>
      <c r="D31" s="6">
        <v>4900</v>
      </c>
      <c r="E31" s="53">
        <f t="shared" si="0"/>
        <v>416500</v>
      </c>
      <c r="F31" s="14">
        <v>172500</v>
      </c>
      <c r="G31" s="14"/>
      <c r="H31" s="14"/>
      <c r="I31" s="14">
        <v>1888</v>
      </c>
      <c r="J31" s="14"/>
      <c r="K31" s="53"/>
      <c r="L31" s="14"/>
      <c r="M31" s="14"/>
      <c r="N31" s="14"/>
      <c r="O31" s="14"/>
      <c r="P31" s="14"/>
      <c r="Q31" s="14"/>
      <c r="R31" s="53">
        <f t="shared" si="1"/>
        <v>242112</v>
      </c>
    </row>
    <row r="32" spans="1:18" ht="15.75" customHeight="1">
      <c r="A32" s="60">
        <v>31</v>
      </c>
      <c r="B32" s="26"/>
      <c r="C32" s="26" t="s">
        <v>55</v>
      </c>
      <c r="D32" s="6">
        <v>5610</v>
      </c>
      <c r="E32" s="53">
        <f t="shared" si="0"/>
        <v>476850</v>
      </c>
      <c r="F32" s="14">
        <v>226800</v>
      </c>
      <c r="G32" s="14"/>
      <c r="H32" s="14"/>
      <c r="I32" s="14">
        <v>1888</v>
      </c>
      <c r="J32" s="14"/>
      <c r="K32" s="53"/>
      <c r="L32" s="14"/>
      <c r="M32" s="14"/>
      <c r="N32" s="14"/>
      <c r="O32" s="14"/>
      <c r="P32" s="14"/>
      <c r="Q32" s="14"/>
      <c r="R32" s="53">
        <f t="shared" si="1"/>
        <v>248162</v>
      </c>
    </row>
    <row r="33" spans="1:18" ht="15.75" customHeight="1">
      <c r="A33" s="60">
        <v>32</v>
      </c>
      <c r="B33" s="26"/>
      <c r="C33" s="26" t="s">
        <v>56</v>
      </c>
      <c r="D33" s="6">
        <v>6000</v>
      </c>
      <c r="E33" s="53">
        <f t="shared" si="0"/>
        <v>510000</v>
      </c>
      <c r="F33" s="14">
        <v>291600</v>
      </c>
      <c r="G33" s="14"/>
      <c r="H33" s="14"/>
      <c r="I33" s="14">
        <v>1888</v>
      </c>
      <c r="J33" s="14"/>
      <c r="K33" s="53"/>
      <c r="L33" s="14"/>
      <c r="M33" s="14"/>
      <c r="N33" s="14"/>
      <c r="O33" s="14"/>
      <c r="P33" s="14"/>
      <c r="Q33" s="14"/>
      <c r="R33" s="53">
        <f t="shared" si="1"/>
        <v>216512</v>
      </c>
    </row>
    <row r="34" spans="1:18" ht="15.75" customHeight="1">
      <c r="A34" s="60">
        <v>33</v>
      </c>
      <c r="B34" s="26"/>
      <c r="C34" s="26" t="s">
        <v>124</v>
      </c>
      <c r="D34" s="6">
        <v>5100</v>
      </c>
      <c r="E34" s="53">
        <f t="shared" si="0"/>
        <v>433500</v>
      </c>
      <c r="F34" s="14">
        <v>280000</v>
      </c>
      <c r="G34" s="14"/>
      <c r="H34" s="14"/>
      <c r="I34" s="14">
        <v>1888</v>
      </c>
      <c r="J34" s="14"/>
      <c r="K34" s="53"/>
      <c r="L34" s="14"/>
      <c r="M34" s="14"/>
      <c r="N34" s="14"/>
      <c r="O34" s="14"/>
      <c r="P34" s="14"/>
      <c r="Q34" s="14"/>
      <c r="R34" s="53">
        <f t="shared" si="1"/>
        <v>151612</v>
      </c>
    </row>
    <row r="35" spans="1:18" ht="15.75" customHeight="1">
      <c r="A35" s="60">
        <v>34</v>
      </c>
      <c r="B35" s="26" t="s">
        <v>57</v>
      </c>
      <c r="C35" s="26" t="s">
        <v>58</v>
      </c>
      <c r="D35" s="6">
        <v>2628</v>
      </c>
      <c r="E35" s="53">
        <f t="shared" si="0"/>
        <v>223380</v>
      </c>
      <c r="F35" s="14">
        <v>107930</v>
      </c>
      <c r="G35" s="14"/>
      <c r="H35" s="14"/>
      <c r="I35" s="14">
        <v>1888</v>
      </c>
      <c r="J35" s="14"/>
      <c r="K35" s="53"/>
      <c r="L35" s="14"/>
      <c r="M35" s="14"/>
      <c r="N35" s="14"/>
      <c r="O35" s="14"/>
      <c r="P35" s="14"/>
      <c r="Q35" s="14"/>
      <c r="R35" s="53">
        <f t="shared" si="1"/>
        <v>113562</v>
      </c>
    </row>
    <row r="36" spans="1:18" ht="15.75" customHeight="1">
      <c r="A36" s="60">
        <v>35</v>
      </c>
      <c r="B36" s="26" t="s">
        <v>125</v>
      </c>
      <c r="C36" s="26" t="s">
        <v>91</v>
      </c>
      <c r="D36" s="6">
        <v>1850</v>
      </c>
      <c r="E36" s="53">
        <f t="shared" si="0"/>
        <v>157250</v>
      </c>
      <c r="F36" s="14">
        <v>46714</v>
      </c>
      <c r="G36" s="14">
        <v>2692</v>
      </c>
      <c r="H36" s="14">
        <v>8348</v>
      </c>
      <c r="I36" s="14">
        <v>31117</v>
      </c>
      <c r="J36" s="14">
        <v>7011</v>
      </c>
      <c r="K36" s="53">
        <v>15766</v>
      </c>
      <c r="L36" s="14">
        <v>2839</v>
      </c>
      <c r="M36" s="14">
        <v>19581</v>
      </c>
      <c r="N36" s="14">
        <v>1778</v>
      </c>
      <c r="O36" s="14">
        <v>2222</v>
      </c>
      <c r="P36" s="14">
        <v>2449</v>
      </c>
      <c r="Q36" s="14">
        <v>1280</v>
      </c>
      <c r="R36" s="53">
        <f t="shared" si="1"/>
        <v>15453</v>
      </c>
    </row>
    <row r="37" spans="1:18" ht="15.75" customHeight="1">
      <c r="A37" s="60">
        <v>36</v>
      </c>
      <c r="B37" s="26"/>
      <c r="C37" s="26" t="s">
        <v>86</v>
      </c>
      <c r="D37" s="6">
        <v>1850</v>
      </c>
      <c r="E37" s="53">
        <f t="shared" si="0"/>
        <v>157250</v>
      </c>
      <c r="F37" s="14">
        <v>37000</v>
      </c>
      <c r="G37" s="14">
        <v>2692</v>
      </c>
      <c r="H37" s="14">
        <v>8348</v>
      </c>
      <c r="I37" s="14">
        <v>31117</v>
      </c>
      <c r="J37" s="14">
        <v>7011</v>
      </c>
      <c r="K37" s="53">
        <v>15766</v>
      </c>
      <c r="L37" s="14">
        <v>2839</v>
      </c>
      <c r="M37" s="14">
        <v>19581</v>
      </c>
      <c r="N37" s="14">
        <v>1778</v>
      </c>
      <c r="O37" s="14">
        <v>2222</v>
      </c>
      <c r="P37" s="14">
        <v>2449</v>
      </c>
      <c r="Q37" s="14">
        <v>1280</v>
      </c>
      <c r="R37" s="53">
        <f t="shared" si="1"/>
        <v>25167</v>
      </c>
    </row>
    <row r="38" spans="1:18" ht="15.75" customHeight="1">
      <c r="A38" s="60">
        <v>37</v>
      </c>
      <c r="B38" s="26" t="s">
        <v>59</v>
      </c>
      <c r="C38" s="26" t="s">
        <v>60</v>
      </c>
      <c r="D38" s="6">
        <v>1800</v>
      </c>
      <c r="E38" s="53">
        <f t="shared" si="0"/>
        <v>153000</v>
      </c>
      <c r="F38" s="14">
        <v>63426</v>
      </c>
      <c r="G38" s="14">
        <v>2692</v>
      </c>
      <c r="H38" s="14">
        <v>8348</v>
      </c>
      <c r="I38" s="14">
        <v>31117</v>
      </c>
      <c r="J38" s="14">
        <v>7011</v>
      </c>
      <c r="K38" s="53">
        <v>15766</v>
      </c>
      <c r="L38" s="14">
        <v>2839</v>
      </c>
      <c r="M38" s="14">
        <v>19581</v>
      </c>
      <c r="N38" s="14">
        <v>1778</v>
      </c>
      <c r="O38" s="14">
        <v>2222</v>
      </c>
      <c r="P38" s="14">
        <v>2449</v>
      </c>
      <c r="Q38" s="14">
        <v>1280</v>
      </c>
      <c r="R38" s="53">
        <f t="shared" si="1"/>
        <v>-5509</v>
      </c>
    </row>
    <row r="39" spans="1:18" ht="15.75" customHeight="1">
      <c r="A39" s="60">
        <v>38</v>
      </c>
      <c r="B39" s="26" t="s">
        <v>61</v>
      </c>
      <c r="C39" s="26" t="s">
        <v>62</v>
      </c>
      <c r="D39" s="6">
        <v>2000</v>
      </c>
      <c r="E39" s="53">
        <f t="shared" si="0"/>
        <v>170000</v>
      </c>
      <c r="F39" s="39">
        <v>87539</v>
      </c>
      <c r="G39" s="14">
        <v>2692</v>
      </c>
      <c r="H39" s="14">
        <v>8348</v>
      </c>
      <c r="I39" s="14">
        <v>31117</v>
      </c>
      <c r="J39" s="14">
        <v>7011</v>
      </c>
      <c r="K39" s="53">
        <v>15766</v>
      </c>
      <c r="L39" s="14">
        <v>2839</v>
      </c>
      <c r="M39" s="14">
        <v>19581</v>
      </c>
      <c r="N39" s="14">
        <v>1778</v>
      </c>
      <c r="O39" s="14">
        <v>2222</v>
      </c>
      <c r="P39" s="14">
        <v>2449</v>
      </c>
      <c r="Q39" s="14">
        <v>1280</v>
      </c>
      <c r="R39" s="53">
        <f t="shared" si="1"/>
        <v>-12622</v>
      </c>
    </row>
    <row r="40" spans="1:18" ht="15.75" customHeight="1">
      <c r="A40" s="60">
        <v>39</v>
      </c>
      <c r="B40" s="26" t="s">
        <v>61</v>
      </c>
      <c r="C40" s="26" t="s">
        <v>63</v>
      </c>
      <c r="D40" s="6">
        <v>2000</v>
      </c>
      <c r="E40" s="53">
        <f t="shared" si="0"/>
        <v>170000</v>
      </c>
      <c r="F40" s="14">
        <v>51000</v>
      </c>
      <c r="G40" s="14">
        <v>2692</v>
      </c>
      <c r="H40" s="14">
        <v>8348</v>
      </c>
      <c r="I40" s="14">
        <v>31117</v>
      </c>
      <c r="J40" s="14">
        <v>7011</v>
      </c>
      <c r="K40" s="53">
        <v>15766</v>
      </c>
      <c r="L40" s="14">
        <v>2839</v>
      </c>
      <c r="M40" s="14">
        <v>19581</v>
      </c>
      <c r="N40" s="14">
        <v>1778</v>
      </c>
      <c r="O40" s="14">
        <v>2222</v>
      </c>
      <c r="P40" s="14">
        <v>2449</v>
      </c>
      <c r="Q40" s="14">
        <v>1280</v>
      </c>
      <c r="R40" s="53">
        <f t="shared" si="1"/>
        <v>23917</v>
      </c>
    </row>
    <row r="41" spans="1:18" ht="15.75" customHeight="1">
      <c r="A41" s="60">
        <v>40</v>
      </c>
      <c r="B41" s="26" t="s">
        <v>61</v>
      </c>
      <c r="C41" s="26" t="s">
        <v>126</v>
      </c>
      <c r="D41" s="6">
        <v>2000</v>
      </c>
      <c r="E41" s="53">
        <f t="shared" si="0"/>
        <v>170000</v>
      </c>
      <c r="F41" s="14">
        <v>45000</v>
      </c>
      <c r="G41" s="14">
        <v>2692</v>
      </c>
      <c r="H41" s="14">
        <v>8348</v>
      </c>
      <c r="I41" s="14">
        <v>31117</v>
      </c>
      <c r="J41" s="14">
        <v>7011</v>
      </c>
      <c r="K41" s="53">
        <v>15766</v>
      </c>
      <c r="L41" s="14">
        <v>2839</v>
      </c>
      <c r="M41" s="14">
        <v>19581</v>
      </c>
      <c r="N41" s="14">
        <v>1778</v>
      </c>
      <c r="O41" s="14">
        <v>2222</v>
      </c>
      <c r="P41" s="14">
        <v>2449</v>
      </c>
      <c r="Q41" s="14">
        <v>1280</v>
      </c>
      <c r="R41" s="53">
        <f t="shared" si="1"/>
        <v>29917</v>
      </c>
    </row>
    <row r="42" spans="1:18" ht="15.75" customHeight="1">
      <c r="A42" s="60">
        <v>41</v>
      </c>
      <c r="B42" s="26" t="s">
        <v>61</v>
      </c>
      <c r="C42" s="26" t="s">
        <v>64</v>
      </c>
      <c r="D42" s="6">
        <v>2000</v>
      </c>
      <c r="E42" s="53">
        <f t="shared" si="0"/>
        <v>170000</v>
      </c>
      <c r="F42" s="39">
        <v>84870</v>
      </c>
      <c r="G42" s="14">
        <v>2692</v>
      </c>
      <c r="H42" s="14">
        <v>8348</v>
      </c>
      <c r="I42" s="14">
        <v>31117</v>
      </c>
      <c r="J42" s="14">
        <v>7011</v>
      </c>
      <c r="K42" s="53">
        <v>15766</v>
      </c>
      <c r="L42" s="14">
        <v>2839</v>
      </c>
      <c r="M42" s="14">
        <v>19581</v>
      </c>
      <c r="N42" s="14">
        <v>1778</v>
      </c>
      <c r="O42" s="14">
        <v>2222</v>
      </c>
      <c r="P42" s="14">
        <v>2449</v>
      </c>
      <c r="Q42" s="14">
        <v>1280</v>
      </c>
      <c r="R42" s="53">
        <f t="shared" si="1"/>
        <v>-9953</v>
      </c>
    </row>
    <row r="43" spans="1:18" ht="15.75" customHeight="1">
      <c r="A43" s="60">
        <v>42</v>
      </c>
      <c r="B43" s="26" t="s">
        <v>61</v>
      </c>
      <c r="C43" s="26" t="s">
        <v>65</v>
      </c>
      <c r="D43" s="6">
        <v>2000</v>
      </c>
      <c r="E43" s="53">
        <f t="shared" si="0"/>
        <v>170000</v>
      </c>
      <c r="F43" s="14">
        <v>62600</v>
      </c>
      <c r="G43" s="14">
        <v>2692</v>
      </c>
      <c r="H43" s="14">
        <v>8348</v>
      </c>
      <c r="I43" s="14">
        <v>31117</v>
      </c>
      <c r="J43" s="14">
        <v>7011</v>
      </c>
      <c r="K43" s="53">
        <v>15766</v>
      </c>
      <c r="L43" s="14">
        <v>2839</v>
      </c>
      <c r="M43" s="14">
        <v>19581</v>
      </c>
      <c r="N43" s="14">
        <v>1778</v>
      </c>
      <c r="O43" s="14">
        <v>2222</v>
      </c>
      <c r="P43" s="14">
        <v>2449</v>
      </c>
      <c r="Q43" s="14">
        <v>1280</v>
      </c>
      <c r="R43" s="53">
        <f t="shared" si="1"/>
        <v>12317</v>
      </c>
    </row>
    <row r="44" spans="1:18" ht="15.75" customHeight="1">
      <c r="A44" s="60">
        <v>43</v>
      </c>
      <c r="B44" s="26" t="s">
        <v>61</v>
      </c>
      <c r="C44" s="26" t="s">
        <v>66</v>
      </c>
      <c r="D44" s="6">
        <v>2000</v>
      </c>
      <c r="E44" s="53">
        <f t="shared" si="0"/>
        <v>170000</v>
      </c>
      <c r="F44" s="14">
        <v>50713</v>
      </c>
      <c r="G44" s="14">
        <v>2692</v>
      </c>
      <c r="H44" s="14">
        <v>8348</v>
      </c>
      <c r="I44" s="14">
        <v>31117</v>
      </c>
      <c r="J44" s="14">
        <v>7011</v>
      </c>
      <c r="K44" s="53">
        <v>15766</v>
      </c>
      <c r="L44" s="14">
        <v>2839</v>
      </c>
      <c r="M44" s="14">
        <v>19581</v>
      </c>
      <c r="N44" s="14">
        <v>1778</v>
      </c>
      <c r="O44" s="14">
        <v>2222</v>
      </c>
      <c r="P44" s="14">
        <v>2449</v>
      </c>
      <c r="Q44" s="14">
        <v>1280</v>
      </c>
      <c r="R44" s="53">
        <f t="shared" si="1"/>
        <v>24204</v>
      </c>
    </row>
    <row r="45" spans="1:18" ht="15.75" customHeight="1">
      <c r="A45" s="60">
        <v>44</v>
      </c>
      <c r="B45" s="26" t="s">
        <v>61</v>
      </c>
      <c r="C45" s="26" t="s">
        <v>67</v>
      </c>
      <c r="D45" s="6">
        <v>2000</v>
      </c>
      <c r="E45" s="53">
        <f t="shared" si="0"/>
        <v>170000</v>
      </c>
      <c r="F45" s="14">
        <v>54000</v>
      </c>
      <c r="G45" s="14">
        <v>2692</v>
      </c>
      <c r="H45" s="14">
        <v>8348</v>
      </c>
      <c r="I45" s="14">
        <v>31117</v>
      </c>
      <c r="J45" s="14">
        <v>7011</v>
      </c>
      <c r="K45" s="53">
        <v>15766</v>
      </c>
      <c r="L45" s="14">
        <v>2839</v>
      </c>
      <c r="M45" s="14">
        <v>19581</v>
      </c>
      <c r="N45" s="14">
        <v>1778</v>
      </c>
      <c r="O45" s="14">
        <v>2222</v>
      </c>
      <c r="P45" s="14">
        <v>2449</v>
      </c>
      <c r="Q45" s="14">
        <v>1280</v>
      </c>
      <c r="R45" s="53">
        <f t="shared" si="1"/>
        <v>20917</v>
      </c>
    </row>
    <row r="46" spans="1:18" ht="15.75" customHeight="1">
      <c r="A46" s="60">
        <v>45</v>
      </c>
      <c r="B46" s="26" t="s">
        <v>61</v>
      </c>
      <c r="C46" s="26" t="s">
        <v>68</v>
      </c>
      <c r="D46" s="6">
        <v>2000</v>
      </c>
      <c r="E46" s="53">
        <f t="shared" si="0"/>
        <v>170000</v>
      </c>
      <c r="F46" s="14">
        <v>58811</v>
      </c>
      <c r="G46" s="14">
        <v>2692</v>
      </c>
      <c r="H46" s="14">
        <v>8348</v>
      </c>
      <c r="I46" s="14">
        <v>31117</v>
      </c>
      <c r="J46" s="14">
        <v>7011</v>
      </c>
      <c r="K46" s="53">
        <v>15766</v>
      </c>
      <c r="L46" s="14">
        <v>2839</v>
      </c>
      <c r="M46" s="14">
        <v>19581</v>
      </c>
      <c r="N46" s="14">
        <v>1778</v>
      </c>
      <c r="O46" s="14">
        <v>2222</v>
      </c>
      <c r="P46" s="14">
        <v>2449</v>
      </c>
      <c r="Q46" s="14">
        <v>1280</v>
      </c>
      <c r="R46" s="53">
        <f t="shared" si="1"/>
        <v>16106</v>
      </c>
    </row>
    <row r="47" spans="1:18" ht="15.75" customHeight="1">
      <c r="A47" s="60">
        <v>46</v>
      </c>
      <c r="B47" s="26" t="s">
        <v>61</v>
      </c>
      <c r="C47" s="26" t="s">
        <v>127</v>
      </c>
      <c r="D47" s="6">
        <v>2000</v>
      </c>
      <c r="E47" s="53">
        <f t="shared" si="0"/>
        <v>170000</v>
      </c>
      <c r="F47" s="14">
        <v>58800</v>
      </c>
      <c r="G47" s="14">
        <v>2692</v>
      </c>
      <c r="H47" s="14">
        <v>8348</v>
      </c>
      <c r="I47" s="14">
        <v>31117</v>
      </c>
      <c r="J47" s="14">
        <v>7011</v>
      </c>
      <c r="K47" s="53">
        <v>15766</v>
      </c>
      <c r="L47" s="14">
        <v>2839</v>
      </c>
      <c r="M47" s="14">
        <v>19581</v>
      </c>
      <c r="N47" s="14">
        <v>1778</v>
      </c>
      <c r="O47" s="14">
        <v>2222</v>
      </c>
      <c r="P47" s="14">
        <v>2449</v>
      </c>
      <c r="Q47" s="14">
        <v>1280</v>
      </c>
      <c r="R47" s="53">
        <f t="shared" si="1"/>
        <v>16117</v>
      </c>
    </row>
    <row r="48" spans="1:18" ht="15.75" customHeight="1">
      <c r="A48" s="60">
        <v>47</v>
      </c>
      <c r="B48" s="26" t="s">
        <v>61</v>
      </c>
      <c r="C48" s="26" t="s">
        <v>128</v>
      </c>
      <c r="D48" s="6">
        <v>2000</v>
      </c>
      <c r="E48" s="53">
        <f t="shared" si="0"/>
        <v>170000</v>
      </c>
      <c r="F48" s="14">
        <v>40728</v>
      </c>
      <c r="G48" s="14">
        <v>2692</v>
      </c>
      <c r="H48" s="14">
        <v>8348</v>
      </c>
      <c r="I48" s="14">
        <v>31117</v>
      </c>
      <c r="J48" s="14">
        <v>7011</v>
      </c>
      <c r="K48" s="53">
        <v>15766</v>
      </c>
      <c r="L48" s="14">
        <v>2839</v>
      </c>
      <c r="M48" s="14">
        <v>19581</v>
      </c>
      <c r="N48" s="14">
        <v>1778</v>
      </c>
      <c r="O48" s="14">
        <v>2222</v>
      </c>
      <c r="P48" s="14">
        <v>2449</v>
      </c>
      <c r="Q48" s="14">
        <v>1280</v>
      </c>
      <c r="R48" s="53">
        <f t="shared" si="1"/>
        <v>34189</v>
      </c>
    </row>
    <row r="49" spans="1:26" ht="15.75" customHeight="1">
      <c r="A49" s="60">
        <v>48</v>
      </c>
      <c r="B49" s="26" t="s">
        <v>61</v>
      </c>
      <c r="C49" s="26" t="s">
        <v>129</v>
      </c>
      <c r="D49" s="6">
        <v>2000</v>
      </c>
      <c r="E49" s="53">
        <f t="shared" si="0"/>
        <v>170000</v>
      </c>
      <c r="F49" s="14">
        <v>35000</v>
      </c>
      <c r="G49" s="14">
        <v>2692</v>
      </c>
      <c r="H49" s="14">
        <v>8348</v>
      </c>
      <c r="I49" s="14">
        <v>31117</v>
      </c>
      <c r="J49" s="14">
        <v>7011</v>
      </c>
      <c r="K49" s="53">
        <v>15766</v>
      </c>
      <c r="L49" s="14">
        <v>2839</v>
      </c>
      <c r="M49" s="14">
        <v>19581</v>
      </c>
      <c r="N49" s="14">
        <v>1778</v>
      </c>
      <c r="O49" s="14">
        <v>2222</v>
      </c>
      <c r="P49" s="14">
        <v>2449</v>
      </c>
      <c r="Q49" s="14">
        <v>1280</v>
      </c>
      <c r="R49" s="53">
        <f t="shared" si="1"/>
        <v>39917</v>
      </c>
    </row>
    <row r="50" spans="1:26" ht="16">
      <c r="A50" s="60">
        <v>49</v>
      </c>
      <c r="B50" s="107" t="s">
        <v>131</v>
      </c>
      <c r="C50" s="26" t="s">
        <v>132</v>
      </c>
      <c r="D50" s="6">
        <v>1775</v>
      </c>
      <c r="E50" s="53">
        <f t="shared" si="0"/>
        <v>150875</v>
      </c>
      <c r="F50" s="14">
        <v>76590</v>
      </c>
      <c r="G50" s="14">
        <v>2692</v>
      </c>
      <c r="H50" s="14">
        <v>8348</v>
      </c>
      <c r="I50" s="14">
        <v>31117</v>
      </c>
      <c r="J50" s="14">
        <v>7011</v>
      </c>
      <c r="K50" s="53">
        <v>15766</v>
      </c>
      <c r="L50" s="14">
        <v>2839</v>
      </c>
      <c r="M50" s="14">
        <v>19581</v>
      </c>
      <c r="N50" s="14">
        <v>1778</v>
      </c>
      <c r="O50" s="14">
        <v>2222</v>
      </c>
      <c r="P50" s="14">
        <v>2449</v>
      </c>
      <c r="Q50" s="14">
        <v>1280</v>
      </c>
      <c r="R50" s="53">
        <f t="shared" si="1"/>
        <v>-20798</v>
      </c>
    </row>
    <row r="51" spans="1:26" ht="16">
      <c r="A51" s="60">
        <v>50</v>
      </c>
      <c r="B51" s="26" t="s">
        <v>133</v>
      </c>
      <c r="C51" s="63" t="s">
        <v>134</v>
      </c>
      <c r="D51" s="6">
        <v>1800</v>
      </c>
      <c r="E51" s="53">
        <f t="shared" si="0"/>
        <v>153000</v>
      </c>
      <c r="F51" s="14">
        <v>60470</v>
      </c>
      <c r="G51" s="14">
        <v>2692</v>
      </c>
      <c r="H51" s="14">
        <v>8348</v>
      </c>
      <c r="I51" s="14">
        <v>31117</v>
      </c>
      <c r="J51" s="14">
        <v>7011</v>
      </c>
      <c r="K51" s="53">
        <v>15766</v>
      </c>
      <c r="L51" s="14">
        <v>2839</v>
      </c>
      <c r="M51" s="14">
        <v>19581</v>
      </c>
      <c r="N51" s="14">
        <v>1778</v>
      </c>
      <c r="O51" s="14">
        <v>2222</v>
      </c>
      <c r="P51" s="14">
        <v>2449</v>
      </c>
      <c r="Q51" s="14">
        <v>1280</v>
      </c>
      <c r="R51" s="53">
        <f t="shared" si="1"/>
        <v>-2553</v>
      </c>
    </row>
    <row r="52" spans="1:26" ht="16">
      <c r="A52" s="60">
        <v>51</v>
      </c>
      <c r="B52" s="26" t="s">
        <v>70</v>
      </c>
      <c r="C52" s="63" t="s">
        <v>71</v>
      </c>
      <c r="D52" s="38">
        <v>114884</v>
      </c>
      <c r="E52" s="53">
        <v>114884</v>
      </c>
      <c r="F52" s="14">
        <v>94167</v>
      </c>
      <c r="G52" s="14"/>
      <c r="H52" s="14"/>
      <c r="I52" s="14">
        <v>1888</v>
      </c>
      <c r="J52" s="14"/>
      <c r="K52" s="53"/>
      <c r="L52" s="14"/>
      <c r="M52" s="14"/>
      <c r="N52" s="14"/>
      <c r="O52" s="14"/>
      <c r="P52" s="14"/>
      <c r="Q52" s="14"/>
      <c r="R52" s="53">
        <f t="shared" si="1"/>
        <v>18829</v>
      </c>
    </row>
    <row r="53" spans="1:26" ht="16">
      <c r="A53" s="15"/>
      <c r="B53" s="15"/>
      <c r="C53" s="15"/>
      <c r="D53" s="15"/>
      <c r="E53" s="15"/>
      <c r="F53" s="16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26" ht="16">
      <c r="A54" s="29"/>
      <c r="B54" s="29"/>
      <c r="C54" s="29" t="s">
        <v>82</v>
      </c>
      <c r="D54" s="29"/>
      <c r="E54" s="30">
        <f t="shared" ref="E54:R54" si="2">SUM(E2:E52)</f>
        <v>9720989</v>
      </c>
      <c r="F54" s="31">
        <f t="shared" si="2"/>
        <v>3808557</v>
      </c>
      <c r="G54" s="31">
        <f t="shared" si="2"/>
        <v>121140</v>
      </c>
      <c r="H54" s="31">
        <f t="shared" si="2"/>
        <v>375660</v>
      </c>
      <c r="I54" s="31">
        <f t="shared" si="2"/>
        <v>1411593</v>
      </c>
      <c r="J54" s="31">
        <f t="shared" si="2"/>
        <v>315495</v>
      </c>
      <c r="K54" s="30">
        <f t="shared" si="2"/>
        <v>709470</v>
      </c>
      <c r="L54" s="31">
        <f t="shared" si="2"/>
        <v>127755</v>
      </c>
      <c r="M54" s="31">
        <f t="shared" si="2"/>
        <v>881145</v>
      </c>
      <c r="N54" s="31">
        <f t="shared" si="2"/>
        <v>80010</v>
      </c>
      <c r="O54" s="31">
        <f t="shared" si="2"/>
        <v>99990</v>
      </c>
      <c r="P54" s="31">
        <f t="shared" si="2"/>
        <v>110205</v>
      </c>
      <c r="Q54" s="31">
        <f t="shared" si="2"/>
        <v>57600</v>
      </c>
      <c r="R54" s="30">
        <f t="shared" si="2"/>
        <v>1622369</v>
      </c>
      <c r="S54" s="32"/>
      <c r="T54" s="32"/>
      <c r="U54" s="32"/>
      <c r="V54" s="32"/>
      <c r="W54" s="32"/>
      <c r="X54" s="32"/>
      <c r="Y54" s="32"/>
      <c r="Z54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Estimate till Sept</vt:lpstr>
      <vt:lpstr>March</vt:lpstr>
      <vt:lpstr>Feb-25</vt:lpstr>
      <vt:lpstr>Clients-Jan</vt:lpstr>
      <vt:lpstr>Clients- March26</vt:lpstr>
      <vt:lpstr>Employee Summery-Jan</vt:lpstr>
      <vt:lpstr>Employee Summery-Feb26</vt:lpstr>
      <vt:lpstr>Employee Summery- March26</vt:lpstr>
      <vt:lpstr>Expenses-Jan</vt:lpstr>
      <vt:lpstr>Expenses-Feb26</vt:lpstr>
      <vt:lpstr>Expenses-March26</vt:lpstr>
      <vt:lpstr>Raw Data</vt:lpstr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Surajit Goswami</cp:lastModifiedBy>
  <dcterms:modified xsi:type="dcterms:W3CDTF">2026-04-24T17:49:17Z</dcterms:modified>
</cp:coreProperties>
</file>